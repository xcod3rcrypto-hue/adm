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Unit economics" sheetId="2" state="visible" r:id="rId4"/>
    <sheet name="Funil" sheetId="3" state="visible" r:id="rId5"/>
    <sheet name="KPIs" sheetId="4" state="visible" r:id="rId6"/>
    <sheet name="Como us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<sst xmlns="http://schemas.openxmlformats.org/spreadsheetml/2006/main" count="686" uniqueCount="510">
  <si>
    <t xml:space="preserve">RENOVA CELL — Premissas do modelo (USD)</t>
  </si>
  <si>
    <t xml:space="preserve">Edite só as células em azul com fundo amarelo. Preto = fórmula; verde = link de outra aba. Cada premissa tem um rótulo: "fonte: código" (lib/products.ts e scripts do site), "conferir" (confirmar na conta do cliente) ou "HIPÓTESE: substituir por dados reais".</t>
  </si>
  <si>
    <t xml:space="preserve">Premissa</t>
  </si>
  <si>
    <t xml:space="preserve">Valor</t>
  </si>
  <si>
    <t xml:space="preserve">Unidade</t>
  </si>
  <si>
    <t xml:space="preserve">Fonte / status</t>
  </si>
  <si>
    <t xml:space="preserve">Observação (de onde vem, onde conferir)</t>
  </si>
  <si>
    <t xml:space="preserve">1. Preços em USD (lib/products.ts → PRICES.usd, valores em centavos ÷ 100)</t>
  </si>
  <si>
    <t xml:space="preserve">Preço — 1 unidade</t>
  </si>
  <si>
    <t xml:space="preserve">US$ por pedido</t>
  </si>
  <si>
    <t xml:space="preserve">fonte: código</t>
  </si>
  <si>
    <t xml:space="preserve">PRICES.usd.single = 2990</t>
  </si>
  <si>
    <t xml:space="preserve">Preço — Kit 3 (pagamento único, ciclo de 90 dias)</t>
  </si>
  <si>
    <t xml:space="preserve">PRICES.usd.kit3 = 8000</t>
  </si>
  <si>
    <t xml:space="preserve">Preço — Kit 6 (cobrança mensal, cancele quando quiser)</t>
  </si>
  <si>
    <t xml:space="preserve">US$ por cobrança mensal</t>
  </si>
  <si>
    <t xml:space="preserve">PRICES.usd.kit6 = 14000; PLANS.kit6.recurring = true</t>
  </si>
  <si>
    <t xml:space="preserve">Preço — order bump (+1 unidade no checkout)</t>
  </si>
  <si>
    <t xml:space="preserve">PRICES.usd.bump = 1990 (ORDER_BUMP)</t>
  </si>
  <si>
    <t xml:space="preserve">Preço — upsell 1: Kit 6 pagamento único (45% off)</t>
  </si>
  <si>
    <t xml:space="preserve">US$ por aceite</t>
  </si>
  <si>
    <t xml:space="preserve">PRICES.usd.upsellKit6 = 7700 (UPSELL_KIT6)</t>
  </si>
  <si>
    <t xml:space="preserve">Preço — upsell 2: assinatura Kit 3 mensal (30% off)</t>
  </si>
  <si>
    <t xml:space="preserve">PRICES.usd.upsellSub = 5600 (UPSELL_SUBSCRIPTION)</t>
  </si>
  <si>
    <t xml:space="preserve">2. Unidades por cobrança (para o custo do produto)</t>
  </si>
  <si>
    <t xml:space="preserve">Unidades — 1 unidade</t>
  </si>
  <si>
    <t xml:space="preserve">unidades</t>
  </si>
  <si>
    <t xml:space="preserve">PLANS.single.units = 1</t>
  </si>
  <si>
    <t xml:space="preserve">Unidades — Kit 3</t>
  </si>
  <si>
    <t xml:space="preserve">PLANS.kit3.units = 3</t>
  </si>
  <si>
    <t xml:space="preserve">Unidades — Kit 6 (por cobrança mensal)</t>
  </si>
  <si>
    <t xml:space="preserve">unidades por mês</t>
  </si>
  <si>
    <t xml:space="preserve">PLANS.kit6.units = 6; copy lib/i18n/en.ts: "6 units delivered every month"</t>
  </si>
  <si>
    <t xml:space="preserve">Unidades — order bump</t>
  </si>
  <si>
    <t xml:space="preserve">lib/i18n/en.ts cart.bumpTitle: "+1 extra unit"</t>
  </si>
  <si>
    <t xml:space="preserve">Unidades — upsell 1 (Kit 6 único)</t>
  </si>
  <si>
    <t xml:space="preserve">UPSELL_KIT6 = Kit 6 pagamento único</t>
  </si>
  <si>
    <t xml:space="preserve">Unidades — upsell 2 (Kit 3 por cobrança mensal)</t>
  </si>
  <si>
    <t xml:space="preserve">UPSELL_SUBSCRIPTION = "Kit 3 every month"</t>
  </si>
  <si>
    <t xml:space="preserve">3. Cupom RENOVA10</t>
  </si>
  <si>
    <t xml:space="preserve">Desconto do cupom RENOVA10</t>
  </si>
  <si>
    <t xml:space="preserve">% da 1ª cobrança</t>
  </si>
  <si>
    <t xml:space="preserve">scripts/stripe-setup.ts: percent_off 10, duration "once" (só o 1º pagamento). Upsells são cobranças separadas e não recebem o cupom.</t>
  </si>
  <si>
    <t xml:space="preserve">O cupom também desconta o order bump? (1 = sim, 0 = não)</t>
  </si>
  <si>
    <t xml:space="preserve">chave 0/1</t>
  </si>
  <si>
    <t xml:space="preserve">O cupom é criado sem applies_to, então o Stripe desconta todos os itens da sessão (plano + bump). Atenção: o carrinho (components/checkout/CheckoutFlow.tsx) mostra o desconto só sobre o plano — alinhar.</t>
  </si>
  <si>
    <t xml:space="preserve">% dos pedidos que usam o cupom</t>
  </si>
  <si>
    <t xml:space="preserve">% dos pedidos</t>
  </si>
  <si>
    <t xml:space="preserve">HIPÓTESE: substituir por dados reais</t>
  </si>
  <si>
    <t xml:space="preserve">Medir no Stripe: Checkout Sessions com desconto (total_details.amount_discount &gt; 0). A tabela orders não guarda o cupom.</t>
  </si>
  <si>
    <t xml:space="preserve">4. Mix de planos e take rates</t>
  </si>
  <si>
    <t xml:space="preserve">Mix — pedidos de 1 unidade</t>
  </si>
  <si>
    <t xml:space="preserve">Supabase orders.plan = 'single'</t>
  </si>
  <si>
    <t xml:space="preserve">Mix — pedidos de Kit 3</t>
  </si>
  <si>
    <t xml:space="preserve">orders.plan = 'kit3'. O quiz recomenda Kit 3 para quem não é persona sênior (lib/quiz.ts, recommendedPlan).</t>
  </si>
  <si>
    <t xml:space="preserve">Mix — pedidos de Kit 6 (assinatura)</t>
  </si>
  <si>
    <t xml:space="preserve">orders.plan = 'kit6'. Recomendado para a persona sênior.</t>
  </si>
  <si>
    <t xml:space="preserve">Verificação: soma do mix (deve dar 100%)</t>
  </si>
  <si>
    <t xml:space="preserve">Fórmula de checagem (não editar).</t>
  </si>
  <si>
    <t xml:space="preserve">Take rate do order bump</t>
  </si>
  <si>
    <t xml:space="preserve">orders.bump = true ÷ pedidos. O bump aparece para todos os planos.</t>
  </si>
  <si>
    <t xml:space="preserve">Take rate do upsell 1 (Kit 6 único)</t>
  </si>
  <si>
    <t xml:space="preserve">% de quem vê os upsells</t>
  </si>
  <si>
    <t xml:space="preserve">Base: compradores de 1 unidade ou Kit 3. Quem compra Kit 6 vai direto para /thank-you (app/api/checkout/route.ts). Evento upsell_accepted com offer = kit6.</t>
  </si>
  <si>
    <t xml:space="preserve">Take rate do upsell 2 (assinatura Kit 3)</t>
  </si>
  <si>
    <t xml:space="preserve">Mesma base. O upsell 2 aparece depois do upsell 1, aceito ou recusado (components/checkout/UpsellOffer.tsx). Evento upsell_accepted com offer = subscription.</t>
  </si>
  <si>
    <t xml:space="preserve">5. Retenção das assinaturas (só para o LTV)</t>
  </si>
  <si>
    <t xml:space="preserve">Kit 6 — cobranças pagas por assinante (média, inclui a 1ª)</t>
  </si>
  <si>
    <t xml:space="preserve">cobranças</t>
  </si>
  <si>
    <t xml:space="preserve">1 = conta só a 1ª cobrança (conservador). Substituir pela média real do Stripe: faturas pagas por assinatura do price STRIPE_PRICE_KIT6_MONTHLY.</t>
  </si>
  <si>
    <t xml:space="preserve">Upsell 2 — cobranças pagas por assinante (média, inclui a 1ª)</t>
  </si>
  <si>
    <t xml:space="preserve">Idem, price STRIPE_PRICE_UPSELL_SUB.</t>
  </si>
  <si>
    <t xml:space="preserve">6. Custos variáveis — PREENCHER (vazio = as fórmulas mostram "preencha o custo")</t>
  </si>
  <si>
    <t xml:space="preserve">Custo do produto por unidade (COGS)</t>
  </si>
  <si>
    <t xml:space="preserve">US$ por unidade</t>
  </si>
  <si>
    <t xml:space="preserve">VAZIO — preencher com o custo real por unidade entregue pelo fornecedor (produto + embalagem). Formato: só o número, em US$.</t>
  </si>
  <si>
    <t xml:space="preserve">Frete por envio (pacote)</t>
  </si>
  <si>
    <t xml:space="preserve">US$ por envio</t>
  </si>
  <si>
    <t xml:space="preserve">VAZIO — preencher com o custo médio real de frete por pacote. Formato: só o número, em US$.</t>
  </si>
  <si>
    <t xml:space="preserve">Separação e embalagem por envio (opcional)</t>
  </si>
  <si>
    <t xml:space="preserve">Opcional: taxa do operador logístico por pacote. Vazio = 0.</t>
  </si>
  <si>
    <t xml:space="preserve">O upsell 1 sai em envio separado? (1 = sim, 0 = mesmo pacote)</t>
  </si>
  <si>
    <t xml:space="preserve">1 = conservador (um frete a mais). O order bump sempre vai no mesmo pacote do pedido. Cada cobrança mensal (Kit 6 e upsell 2) conta como um envio.</t>
  </si>
  <si>
    <t xml:space="preserve">7. Pagamentos (Stripe, conta nos EUA)</t>
  </si>
  <si>
    <t xml:space="preserve">Taxa percentual por cobrança de cartão</t>
  </si>
  <si>
    <t xml:space="preserve">% do valor cobrado</t>
  </si>
  <si>
    <t xml:space="preserve">conferir</t>
  </si>
  <si>
    <t xml:space="preserve">Tarifa padrão de cartão nos EUA; confirmar na conta do cliente (Stripe → Settings → Pricing).</t>
  </si>
  <si>
    <t xml:space="preserve">Taxa fixa por cobrança de cartão</t>
  </si>
  <si>
    <t xml:space="preserve">US$ por cobrança</t>
  </si>
  <si>
    <t xml:space="preserve">Cada cobrança paga a taxa fixa: o pedido, o upsell 1 e cada cobrança mensal das assinaturas.</t>
  </si>
  <si>
    <t xml:space="preserve">Stripe Billing sobre o volume das assinaturas</t>
  </si>
  <si>
    <t xml:space="preserve">% do valor da assinatura</t>
  </si>
  <si>
    <t xml:space="preserve">Incide sobre Kit 6 e upsell 2; confirmar o plano de Billing da conta.</t>
  </si>
  <si>
    <t xml:space="preserve">Adicional médio por cartão internacional / conversão de moeda</t>
  </si>
  <si>
    <t xml:space="preserve">% da receita</t>
  </si>
  <si>
    <t xml:space="preserve">0% = só vendas nos EUA em USD. Ao vender fora dos EUA, conferir a tabela da conta e usar a média ponderada.</t>
  </si>
  <si>
    <t xml:space="preserve">Taxa por disputa (chargeback)</t>
  </si>
  <si>
    <t xml:space="preserve">US$ por disputa</t>
  </si>
  <si>
    <t xml:space="preserve">Taxa cobrada pelo Stripe por disputa; confirmar na conta.</t>
  </si>
  <si>
    <t xml:space="preserve">8. Reembolsos e disputas</t>
  </si>
  <si>
    <t xml:space="preserve">Taxa de reembolso (garantia de 30 dias)</t>
  </si>
  <si>
    <t xml:space="preserve">% da receita da 1ª compra</t>
  </si>
  <si>
    <t xml:space="preserve">Modelo conservador: a taxa do Stripe não volta no reembolso e o produto não é recuperado (conferir). Medir no Stripe (Refunds); o webhook não grava reembolsos em orders.status.</t>
  </si>
  <si>
    <t xml:space="preserve">Taxa de disputas</t>
  </si>
  <si>
    <t xml:space="preserve">Cada disputa perde o valor do pedido + a taxa por disputa. Medir no Stripe (Disputes).</t>
  </si>
  <si>
    <t xml:space="preserve">9. Meta financeira</t>
  </si>
  <si>
    <t xml:space="preserve">Margem-alvo depois da mídia</t>
  </si>
  <si>
    <t xml:space="preserve">% da receita líquida</t>
  </si>
  <si>
    <t xml:space="preserve">Quanto deve sobrar por comprador depois de pagar a mídia. Usada no CPA alvo, ROAS alvo e CPC alvo.</t>
  </si>
  <si>
    <t xml:space="preserve">10. Funil — taxa de cada etapa (aba Funil)</t>
  </si>
  <si>
    <t xml:space="preserve">Visitantes na base de cálculo</t>
  </si>
  <si>
    <t xml:space="preserve">visitantes</t>
  </si>
  <si>
    <t xml:space="preserve">base de cálculo (não é premissa)</t>
  </si>
  <si>
    <t xml:space="preserve">O funil é mostrado por 1.000 visitantes; mudar a base não muda os valores por visitante.</t>
  </si>
  <si>
    <t xml:space="preserve">Clique no link → visita na landing</t>
  </si>
  <si>
    <t xml:space="preserve">% dos cliques</t>
  </si>
  <si>
    <t xml:space="preserve">Meta: Landing page views ÷ Link clicks. Usada só para converter custo por visita em CPC.</t>
  </si>
  <si>
    <t xml:space="preserve">Visitante → início do quiz (quiz_start)</t>
  </si>
  <si>
    <t xml:space="preserve">% dos visitantes</t>
  </si>
  <si>
    <t xml:space="preserve">quiz_start dispara ao abrir a 1ª pergunta (components/quiz/QuizFlow.tsx); a home redireciona para /quiz.</t>
  </si>
  <si>
    <t xml:space="preserve">Início → quiz concluído (quiz_complete)</t>
  </si>
  <si>
    <t xml:space="preserve">% de quem iniciou</t>
  </si>
  <si>
    <t xml:space="preserve">8 perguntas + etapa de contato opcional.</t>
  </si>
  <si>
    <t xml:space="preserve">Quiz concluído → oferta vista (view_offer)</t>
  </si>
  <si>
    <t xml:space="preserve">% de quem concluiu</t>
  </si>
  <si>
    <t xml:space="preserve">Passa por /analyzing antes de /offer.</t>
  </si>
  <si>
    <t xml:space="preserve">Oferta vista → início do checkout (begin_checkout)</t>
  </si>
  <si>
    <t xml:space="preserve">% de quem viu a oferta</t>
  </si>
  <si>
    <t xml:space="preserve">Início do checkout → compra (purchase)</t>
  </si>
  <si>
    <t xml:space="preserve">% de quem iniciou o checkout</t>
  </si>
  <si>
    <t xml:space="preserve">Contar compras pelo Stripe/Supabase: o evento purchase só dispara em /thank-you, depois dos upsells.</t>
  </si>
  <si>
    <t xml:space="preserve">11. Metas de monitoramento (aba KPIs)</t>
  </si>
  <si>
    <t xml:space="preserve">Meta de CTR do link</t>
  </si>
  <si>
    <t xml:space="preserve">% das impressões</t>
  </si>
  <si>
    <t xml:space="preserve">Meta/TikTok Ads Manager.</t>
  </si>
  <si>
    <t xml:space="preserve">Meta de cobertura do rastreamento</t>
  </si>
  <si>
    <t xml:space="preserve">% dos pedidos pagos</t>
  </si>
  <si>
    <t xml:space="preserve">Eventos Purchase do Pixel ÷ pedidos pagos no Stripe. Perde-se por recusa de cookies (scripts só carregam após consentimento) e por quem fecha a página durante os upsells.</t>
  </si>
  <si>
    <t xml:space="preserve">Meta de captura de e-mail no quiz</t>
  </si>
  <si>
    <t xml:space="preserve">% das respostas do quiz</t>
  </si>
  <si>
    <t xml:space="preserve">quiz_responses com e-mail ÷ quiz_responses (a etapa de contato é opcional).</t>
  </si>
  <si>
    <t xml:space="preserve">Alerta de KPI "maior melhor": abaixo de X% da meta</t>
  </si>
  <si>
    <t xml:space="preserve">% da meta</t>
  </si>
  <si>
    <t xml:space="preserve">Ex.: 80% → alerta quando o valor medido fica abaixo de 80% da meta.</t>
  </si>
  <si>
    <t xml:space="preserve">Alerta de KPI "menor melhor": acima de X% da meta</t>
  </si>
  <si>
    <t xml:space="preserve">Ex.: 120% → alerta quando o valor medido passa de 120% da meta.</t>
  </si>
  <si>
    <t xml:space="preserve">RENOVA CELL — Unit economics por comprador (USD)</t>
  </si>
  <si>
    <t xml:space="preserve">Margem por produto (1 cobrança, sem cupom, reembolso ou disputa)</t>
  </si>
  <si>
    <t xml:space="preserve">Base: 1 comprador = 1 pedido pago no checkout. Kit 6 entra só com a 1ª cobrança mensal; a recorrência fica na seção 4 (LTV). Nenhum número aqui é digitado: tudo vem da aba Premissas.</t>
  </si>
  <si>
    <t xml:space="preserve">Indicador</t>
  </si>
  <si>
    <t xml:space="preserve">Como é calculado</t>
  </si>
  <si>
    <t xml:space="preserve">Produto</t>
  </si>
  <si>
    <t xml:space="preserve">Preço</t>
  </si>
  <si>
    <t xml:space="preserve">Unidades</t>
  </si>
  <si>
    <t xml:space="preserve">COGS</t>
  </si>
  <si>
    <t xml:space="preserve">Frete + separação</t>
  </si>
  <si>
    <t xml:space="preserve">Taxas Stripe</t>
  </si>
  <si>
    <t xml:space="preserve">Margem</t>
  </si>
  <si>
    <t xml:space="preserve">Margem %</t>
  </si>
  <si>
    <t xml:space="preserve">Custos preenchidos?</t>
  </si>
  <si>
    <t xml:space="preserve">Enquanto o custo do produto (COGS) ou o frete estiverem vazios, os resultados que dependem deles mostram "preencha o custo" em vez de um número enganoso.</t>
  </si>
  <si>
    <t xml:space="preserve">1 unidade</t>
  </si>
  <si>
    <t xml:space="preserve">Mix de planos soma 100%?</t>
  </si>
  <si>
    <t xml:space="preserve">Checagem do mix de planos.</t>
  </si>
  <si>
    <t xml:space="preserve">Kit 3</t>
  </si>
  <si>
    <t xml:space="preserve">1. Receita da 1ª compra (por comprador)</t>
  </si>
  <si>
    <t xml:space="preserve">Kit 6 (cada cobrança mensal)</t>
  </si>
  <si>
    <t xml:space="preserve">Preço médio do plano (pelo mix)</t>
  </si>
  <si>
    <t xml:space="preserve">US$ por comprador</t>
  </si>
  <si>
    <t xml:space="preserve">Σ (participação no mix × preço). Kit 6 = 1ª cobrança mensal.</t>
  </si>
  <si>
    <t xml:space="preserve">Order bump (mesmo pacote)</t>
  </si>
  <si>
    <t xml:space="preserve">Receita do order bump</t>
  </si>
  <si>
    <t xml:space="preserve">Take rate do bump × preço do bump.</t>
  </si>
  <si>
    <t xml:space="preserve">Upsell 1 — Kit 6 único</t>
  </si>
  <si>
    <t xml:space="preserve">Subtotal do checkout antes do cupom</t>
  </si>
  <si>
    <t xml:space="preserve">Plano médio + bump.</t>
  </si>
  <si>
    <t xml:space="preserve">Upsell 2 — Kit 3 (cada cobrança)</t>
  </si>
  <si>
    <t xml:space="preserve">(−) Desconto do cupom RENOVA10</t>
  </si>
  <si>
    <t xml:space="preserve">% de pedidos com cupom × 10% × (plano + bump, se o cupom incidir no bump).</t>
  </si>
  <si>
    <t xml:space="preserve">O bump não paga frete nem taxa fixa (vai no mesmo pacote e na mesma cobrança). Margem negativa no produto de 1 unidade é comum quando o frete é alto — confira com os custos reais.</t>
  </si>
  <si>
    <t xml:space="preserve">Ticket médio do pedido (AOV)</t>
  </si>
  <si>
    <t xml:space="preserve">Valor cobrado no checkout. É o que vai em orders.amount_cents e no value do evento purchase.</t>
  </si>
  <si>
    <t xml:space="preserve">Compradores que veem os upsells (1 unidade ou Kit 3)</t>
  </si>
  <si>
    <t xml:space="preserve">% dos compradores</t>
  </si>
  <si>
    <t xml:space="preserve">Quem assina o Kit 6 pula os upsells (success_url vai direto para /thank-you).</t>
  </si>
  <si>
    <t xml:space="preserve">Receita do upsell 1 (Kit 6 único)</t>
  </si>
  <si>
    <t xml:space="preserve">% que vê os upsells × take rate do upsell 1 × preço.</t>
  </si>
  <si>
    <t xml:space="preserve">Receita do upsell 2 (1ª cobrança da assinatura)</t>
  </si>
  <si>
    <t xml:space="preserve">% que vê os upsells × take rate do upsell 2 × preço mensal.</t>
  </si>
  <si>
    <t xml:space="preserve">Receita bruta por comprador (1ª compra)</t>
  </si>
  <si>
    <t xml:space="preserve">Pedido + upsells (1ª cobrança). É a receita que aparece no Stripe.</t>
  </si>
  <si>
    <t xml:space="preserve">(−) Reembolsos</t>
  </si>
  <si>
    <t xml:space="preserve">Taxa de reembolso × receita bruta.</t>
  </si>
  <si>
    <t xml:space="preserve">(−) Valores perdidos em disputas</t>
  </si>
  <si>
    <t xml:space="preserve">Taxa de disputas × ticket médio.</t>
  </si>
  <si>
    <t xml:space="preserve">Receita líquida por comprador</t>
  </si>
  <si>
    <t xml:space="preserve">Receita bruta − reembolsos − disputas.</t>
  </si>
  <si>
    <t xml:space="preserve">2. Custos variáveis por comprador (1ª compra)</t>
  </si>
  <si>
    <t xml:space="preserve">Unidades enviadas por comprador</t>
  </si>
  <si>
    <t xml:space="preserve">Plano + bump + upsells (1ª entrega da assinatura do upsell 2).</t>
  </si>
  <si>
    <t xml:space="preserve">Envios por comprador</t>
  </si>
  <si>
    <t xml:space="preserve">envios</t>
  </si>
  <si>
    <t xml:space="preserve">1 pacote do pedido (com o bump) + upsell 1 se for separado + 1ª entrega do upsell 2.</t>
  </si>
  <si>
    <t xml:space="preserve">Cobranças no cartão por comprador</t>
  </si>
  <si>
    <t xml:space="preserve">Pedido + cada upsell aceito (cada um paga a taxa fixa do Stripe).</t>
  </si>
  <si>
    <t xml:space="preserve">Volume de assinatura na 1ª cobrança (base do Stripe Billing)</t>
  </si>
  <si>
    <t xml:space="preserve">1ª cobrança do Kit 6 (com cupom) + 1ª cobrança do upsell 2. Aproximação: ignora o bump na fatura do Kit 6.</t>
  </si>
  <si>
    <t xml:space="preserve">Custo do produto (COGS)</t>
  </si>
  <si>
    <t xml:space="preserve">Unidades × custo por unidade.</t>
  </si>
  <si>
    <t xml:space="preserve">Envios × (frete + separação/embalagem).</t>
  </si>
  <si>
    <t xml:space="preserve">Taxas de cartão do Stripe</t>
  </si>
  <si>
    <t xml:space="preserve">Receita bruta × (taxa % + adicional internacional) + cobranças × taxa fixa. Não volta no reembolso.</t>
  </si>
  <si>
    <t xml:space="preserve">Stripe Billing (assinaturas)</t>
  </si>
  <si>
    <t xml:space="preserve">Volume de assinatura × taxa do Billing.</t>
  </si>
  <si>
    <t xml:space="preserve">Taxas de disputa</t>
  </si>
  <si>
    <t xml:space="preserve">Taxa de disputas × taxa por disputa.</t>
  </si>
  <si>
    <t xml:space="preserve">Custos variáveis totais</t>
  </si>
  <si>
    <t xml:space="preserve">COGS + frete + Stripe + Billing + disputas.</t>
  </si>
  <si>
    <t xml:space="preserve">3. Margem de contribuição e limites de mídia (1ª compra)</t>
  </si>
  <si>
    <t xml:space="preserve">Margem de contribuição por comprador (antes da mídia)</t>
  </si>
  <si>
    <t xml:space="preserve">Receita líquida − custos variáveis. Não inclui custos fixos nem impostos.</t>
  </si>
  <si>
    <t xml:space="preserve">Margem de contribuição (% da receita líquida)</t>
  </si>
  <si>
    <t xml:space="preserve">%</t>
  </si>
  <si>
    <t xml:space="preserve">Margem de contribuição ÷ receita líquida.</t>
  </si>
  <si>
    <t xml:space="preserve">CPA de equilíbrio (custo máximo por compra)</t>
  </si>
  <si>
    <t xml:space="preserve">US$ por compra</t>
  </si>
  <si>
    <t xml:space="preserve">Pagando este valor de mídia por compra, a 1ª compra empata (lucro zero).</t>
  </si>
  <si>
    <t xml:space="preserve">CPA alvo (na margem-alvo)</t>
  </si>
  <si>
    <t xml:space="preserve">Margem de contribuição − margem-alvo × receita líquida. Negativo = a margem-alvo não cabe nesses preços/custos.</t>
  </si>
  <si>
    <t xml:space="preserve">ROAS de equilíbrio — receita total no Stripe</t>
  </si>
  <si>
    <t xml:space="preserve">receita ÷ gasto</t>
  </si>
  <si>
    <t xml:space="preserve">Receita bruta ÷ CPA de equilíbrio. Comparar com receita do Stripe (pedido + upsells) ÷ gasto.</t>
  </si>
  <si>
    <t xml:space="preserve">ROAS de equilíbrio — valor do Pixel (só o pedido)</t>
  </si>
  <si>
    <t xml:space="preserve">Ticket médio ÷ CPA de equilíbrio. Comparar com o "Purchase ROAS" do Meta, que não inclui os upsells.</t>
  </si>
  <si>
    <t xml:space="preserve">ROAS alvo — receita total no Stripe</t>
  </si>
  <si>
    <t xml:space="preserve">Receita bruta ÷ CPA alvo.</t>
  </si>
  <si>
    <t xml:space="preserve">ROAS alvo — valor do Pixel (só o pedido)</t>
  </si>
  <si>
    <t xml:space="preserve">Ticket médio ÷ CPA alvo.</t>
  </si>
  <si>
    <t xml:space="preserve">4. LTV com a retenção das assinaturas (opcional; com retenção = 1 é igual à 1ª compra)</t>
  </si>
  <si>
    <t xml:space="preserve">Cobranças extras do Kit 6 por comprador</t>
  </si>
  <si>
    <t xml:space="preserve">% de Kit 6 × (cobranças por assinante − 1).</t>
  </si>
  <si>
    <t xml:space="preserve">Cobranças extras do upsell 2 por comprador</t>
  </si>
  <si>
    <t xml:space="preserve">% que aceita o upsell 2 × (cobranças por assinante − 1).</t>
  </si>
  <si>
    <t xml:space="preserve">Margem por cobrança recorrente do Kit 6</t>
  </si>
  <si>
    <t xml:space="preserve">Preço − taxas Stripe e Billing − 6 unidades − 1 envio (sem cupom nas renovações).</t>
  </si>
  <si>
    <t xml:space="preserve">Margem por cobrança recorrente do upsell 2</t>
  </si>
  <si>
    <t xml:space="preserve">Preço − taxas − 3 unidades − 1 envio.</t>
  </si>
  <si>
    <t xml:space="preserve">Receita recorrente extra por comprador</t>
  </si>
  <si>
    <t xml:space="preserve">Cobranças extras × preço.</t>
  </si>
  <si>
    <t xml:space="preserve">Margem recorrente extra por comprador</t>
  </si>
  <si>
    <t xml:space="preserve">Cobranças extras × margem por cobrança.</t>
  </si>
  <si>
    <t xml:space="preserve">LTV de receita por comprador</t>
  </si>
  <si>
    <t xml:space="preserve">Receita bruta da 1ª compra + receita recorrente extra.</t>
  </si>
  <si>
    <t xml:space="preserve">LTV de margem de contribuição por comprador</t>
  </si>
  <si>
    <t xml:space="preserve">Margem da 1ª compra + margem recorrente extra.</t>
  </si>
  <si>
    <t xml:space="preserve">CPA de equilíbrio pelo LTV</t>
  </si>
  <si>
    <t xml:space="preserve">Só use se a retenção vier de dados reais do Stripe — o caixa da recorrência entra nos meses seguintes.</t>
  </si>
  <si>
    <t xml:space="preserve">CPA alvo pelo LTV</t>
  </si>
  <si>
    <t xml:space="preserve">LTV de margem − margem-alvo × (receita líquida + recorrente).</t>
  </si>
  <si>
    <t xml:space="preserve">ROAS de equilíbrio pelo LTV (receita total)</t>
  </si>
  <si>
    <t xml:space="preserve">LTV de receita ÷ CPA de equilíbrio pelo LTV.</t>
  </si>
  <si>
    <t xml:space="preserve">RENOVA CELL — Funil por 1.000 visitantes</t>
  </si>
  <si>
    <t xml:space="preserve">As taxas vêm da aba Premissas (seções 4 e 10, em verde). Quantidades, receita e limites de custo são calculados. Eventos GA4/PostHog/Meta saem de lib/analytics.ts e só disparam após o consentimento de cookies.</t>
  </si>
  <si>
    <t xml:space="preserve">Etapa</t>
  </si>
  <si>
    <t xml:space="preserve">Evento GA4 / PostHog</t>
  </si>
  <si>
    <t xml:space="preserve">Evento Meta Pixel</t>
  </si>
  <si>
    <t xml:space="preserve">Taxa da etapa</t>
  </si>
  <si>
    <t xml:space="preserve">Base da taxa</t>
  </si>
  <si>
    <t xml:space="preserve">Quantidade por 1.000 visitantes</t>
  </si>
  <si>
    <t xml:space="preserve">Fonte de verdade para a contagem real</t>
  </si>
  <si>
    <t xml:space="preserve">Visitantes na landing (/quiz)</t>
  </si>
  <si>
    <t xml:space="preserve">page_view em /quiz (GA4) · $pageview (PostHog)</t>
  </si>
  <si>
    <t xml:space="preserve">PageView</t>
  </si>
  <si>
    <t xml:space="preserve">—</t>
  </si>
  <si>
    <t xml:space="preserve">GA4: sessões com landing page /quiz; Meta: Landing page views (Ads Manager)</t>
  </si>
  <si>
    <t xml:space="preserve">Início do quiz</t>
  </si>
  <si>
    <t xml:space="preserve">quiz_start</t>
  </si>
  <si>
    <t xml:space="preserve">quiz_start (trackCustom)</t>
  </si>
  <si>
    <t xml:space="preserve">sobre visitantes</t>
  </si>
  <si>
    <t xml:space="preserve">GA4/PostHog quiz_start</t>
  </si>
  <si>
    <t xml:space="preserve">Quiz concluído</t>
  </si>
  <si>
    <t xml:space="preserve">quiz_complete (persona_gender, age)</t>
  </si>
  <si>
    <t xml:space="preserve">Lead</t>
  </si>
  <si>
    <t xml:space="preserve">sobre início do quiz</t>
  </si>
  <si>
    <t xml:space="preserve">Supabase quiz_responses (linha criada em /analyzing; não depende de cookies)</t>
  </si>
  <si>
    <t xml:space="preserve">Oferta vista</t>
  </si>
  <si>
    <t xml:space="preserve">view_offer (persona)</t>
  </si>
  <si>
    <t xml:space="preserve">ViewContent</t>
  </si>
  <si>
    <t xml:space="preserve">sobre quiz concluído</t>
  </si>
  <si>
    <t xml:space="preserve">GA4/PostHog view_offer</t>
  </si>
  <si>
    <t xml:space="preserve">Início do checkout</t>
  </si>
  <si>
    <t xml:space="preserve">begin_checkout (plan, value, currency)</t>
  </si>
  <si>
    <t xml:space="preserve">InitiateCheckout</t>
  </si>
  <si>
    <t xml:space="preserve">sobre oferta vista</t>
  </si>
  <si>
    <t xml:space="preserve">GA4/PostHog begin_checkout</t>
  </si>
  <si>
    <t xml:space="preserve">Compra</t>
  </si>
  <si>
    <t xml:space="preserve">purchase (value, currency, plan)</t>
  </si>
  <si>
    <t xml:space="preserve">Purchase</t>
  </si>
  <si>
    <t xml:space="preserve">sobre início do checkout</t>
  </si>
  <si>
    <t xml:space="preserve">Stripe checkout.session.completed (pago) · Supabase orders (status = 'paid')</t>
  </si>
  <si>
    <t xml:space="preserve">Pedidos com order bump</t>
  </si>
  <si>
    <t xml:space="preserve">— (sem evento próprio)</t>
  </si>
  <si>
    <t xml:space="preserve">sobre compras</t>
  </si>
  <si>
    <t xml:space="preserve">Supabase orders.bump = true</t>
  </si>
  <si>
    <t xml:space="preserve">— (página /upsell-1)</t>
  </si>
  <si>
    <t xml:space="preserve">sobre compras (mix de planos)</t>
  </si>
  <si>
    <t xml:space="preserve">Supabase orders.plan in ('single', 'kit3')</t>
  </si>
  <si>
    <t xml:space="preserve">Upsell 1 aceito (Kit 6 único)</t>
  </si>
  <si>
    <t xml:space="preserve">upsell_accepted (offer = kit6)</t>
  </si>
  <si>
    <t xml:space="preserve">upsell_accepted (trackCustom)</t>
  </si>
  <si>
    <t xml:space="preserve">sobre quem vê os upsells</t>
  </si>
  <si>
    <t xml:space="preserve">Stripe PaymentIntents com metadata upsell = kit6 · Supabase orders.upsells</t>
  </si>
  <si>
    <t xml:space="preserve">Upsell 2 aceito (assinatura Kit 3)</t>
  </si>
  <si>
    <t xml:space="preserve">upsell_accepted (offer = subscription)</t>
  </si>
  <si>
    <t xml:space="preserve">Stripe Subscriptions com metadata upsell = subscription</t>
  </si>
  <si>
    <t xml:space="preserve">Receita e limites de custo de mídia por 1.000 visitantes</t>
  </si>
  <si>
    <t xml:space="preserve">Conversão visitante → compra</t>
  </si>
  <si>
    <t xml:space="preserve">Compras ÷ visitantes.</t>
  </si>
  <si>
    <t xml:space="preserve">Da aba Unit economics (pedido + upsells).</t>
  </si>
  <si>
    <t xml:space="preserve">Receita bruta por 1.000 visitantes</t>
  </si>
  <si>
    <t xml:space="preserve">Compras × receita bruta por comprador.</t>
  </si>
  <si>
    <t xml:space="preserve">Receita por visitante (RPV)</t>
  </si>
  <si>
    <t xml:space="preserve">Receita ÷ visitantes.</t>
  </si>
  <si>
    <t xml:space="preserve">Margem de contribuição por comprador</t>
  </si>
  <si>
    <t xml:space="preserve">Da aba Unit economics (antes da mídia).</t>
  </si>
  <si>
    <t xml:space="preserve">Margem de contribuição por 1.000 visitantes (antes da mídia)</t>
  </si>
  <si>
    <t xml:space="preserve">É o máximo que se pode gastar em mídia para trazer estes visitantes sem prejuízo na 1ª compra.</t>
  </si>
  <si>
    <t xml:space="preserve">Margem de contribuição por visitante</t>
  </si>
  <si>
    <t xml:space="preserve">Custo máximo por visita na landing.</t>
  </si>
  <si>
    <t xml:space="preserve">CPC máximo de equilíbrio (por clique no link)</t>
  </si>
  <si>
    <t xml:space="preserve">Margem por visitante × taxa clique → visita. Acima disso a 1ª compra dá prejuízo.</t>
  </si>
  <si>
    <t xml:space="preserve">CPC máximo na margem-alvo</t>
  </si>
  <si>
    <t xml:space="preserve">Compras × CPA alvo ÷ visitantes × taxa clique → visita.</t>
  </si>
  <si>
    <t xml:space="preserve">CPM máximo de equilíbrio (com o CTR da meta)</t>
  </si>
  <si>
    <t xml:space="preserve">CPC de equilíbrio × CTR da meta × 1.000 impressões.</t>
  </si>
  <si>
    <t xml:space="preserve">Custo máximo por quiz concluído (equilíbrio)</t>
  </si>
  <si>
    <t xml:space="preserve">Margem por 1.000 visitantes ÷ quizzes concluídos. Compare com o custo por Lead do Meta.</t>
  </si>
  <si>
    <t xml:space="preserve">Custo máximo por quiz concluído (margem-alvo)</t>
  </si>
  <si>
    <t xml:space="preserve">Compras × CPA alvo ÷ quizzes concluídos.</t>
  </si>
  <si>
    <t xml:space="preserve">CPA de equilíbrio (referência)</t>
  </si>
  <si>
    <t xml:space="preserve">Da aba Unit economics.</t>
  </si>
  <si>
    <t xml:space="preserve">CPC máximo de equilíbrio pelo LTV</t>
  </si>
  <si>
    <t xml:space="preserve">Igual ao CPC de equilíbrio, usando o LTV de margem (retenção da aba Premissas).</t>
  </si>
  <si>
    <t xml:space="preserve">RENOVA CELL — KPIs do funil, metas e alertas</t>
  </si>
  <si>
    <t xml:space="preserve">Metas em verde vêm das Premissas (hipóteses) ou do cálculo do modelo. Preencha "Valor medido" na cadência indicada; o status compara com a meta e o limite de alerta. Valores percentuais como fração (0,25 = 25%).</t>
  </si>
  <si>
    <t xml:space="preserve">#</t>
  </si>
  <si>
    <t xml:space="preserve">KPI</t>
  </si>
  <si>
    <t xml:space="preserve">Definição</t>
  </si>
  <si>
    <t xml:space="preserve">Evento / fonte exata</t>
  </si>
  <si>
    <t xml:space="preserve">Fórmula</t>
  </si>
  <si>
    <t xml:space="preserve">Direção</t>
  </si>
  <si>
    <t xml:space="preserve">Meta</t>
  </si>
  <si>
    <t xml:space="preserve">Limite de alerta</t>
  </si>
  <si>
    <t xml:space="preserve">Cadência de revisão</t>
  </si>
  <si>
    <t xml:space="preserve">Valor medido (preencher)</t>
  </si>
  <si>
    <t xml:space="preserve">Status</t>
  </si>
  <si>
    <t xml:space="preserve">Origem da meta</t>
  </si>
  <si>
    <t xml:space="preserve">Mídia</t>
  </si>
  <si>
    <t xml:space="preserve">CTR do link</t>
  </si>
  <si>
    <t xml:space="preserve">Cliques no link ÷ impressões do anúncio.</t>
  </si>
  <si>
    <t xml:space="preserve">Meta Ads Manager: "Link clicks" e "Impressions"; TikTok Ads Manager: "Clicks" e "Impressions".</t>
  </si>
  <si>
    <t xml:space="preserve">cliques no link ÷ impressões</t>
  </si>
  <si>
    <t xml:space="preserve">maior melhor</t>
  </si>
  <si>
    <t xml:space="preserve">Diária, por criativo</t>
  </si>
  <si>
    <t xml:space="preserve">Premissas §11 (HIPÓTESE)</t>
  </si>
  <si>
    <t xml:space="preserve">Taxa clique → visita</t>
  </si>
  <si>
    <t xml:space="preserve">Visitas que carregam a landing ÷ cliques no link.</t>
  </si>
  <si>
    <t xml:space="preserve">Meta Ads Manager: "Landing page views" ÷ "Link clicks".</t>
  </si>
  <si>
    <t xml:space="preserve">landing page views ÷ link clicks</t>
  </si>
  <si>
    <t xml:space="preserve">Diária</t>
  </si>
  <si>
    <t xml:space="preserve">Premissas §10 (HIPÓTESE)</t>
  </si>
  <si>
    <t xml:space="preserve">CPC do link</t>
  </si>
  <si>
    <t xml:space="preserve">Gasto ÷ cliques no link.</t>
  </si>
  <si>
    <t xml:space="preserve">Meta/TikTok Ads Manager: "Amount spent" e "Link clicks".</t>
  </si>
  <si>
    <t xml:space="preserve">gasto ÷ cliques no link</t>
  </si>
  <si>
    <t xml:space="preserve">menor melhor</t>
  </si>
  <si>
    <t xml:space="preserve">Funil: CPC na margem-alvo; alerta = CPC de equilíbrio</t>
  </si>
  <si>
    <t xml:space="preserve">Custo por quiz concluído</t>
  </si>
  <si>
    <t xml:space="preserve">Gasto ÷ quizzes concluídos.</t>
  </si>
  <si>
    <t xml:space="preserve">Gasto: Ads Manager. Quizzes: Supabase quiz_responses (contagem no período) ou evento Lead do Meta.</t>
  </si>
  <si>
    <t xml:space="preserve">gasto ÷ count(quiz_responses)</t>
  </si>
  <si>
    <t xml:space="preserve">Funil: margem-alvo; alerta = equilíbrio</t>
  </si>
  <si>
    <t xml:space="preserve">CPA (custo por compra)</t>
  </si>
  <si>
    <t xml:space="preserve">Gasto ÷ compras pagas.</t>
  </si>
  <si>
    <t xml:space="preserve">Gasto: Ads Manager. Compras: Stripe (Checkout Sessions pagas, sem metadata upsell) ou Supabase orders (status = 'paid').</t>
  </si>
  <si>
    <t xml:space="preserve">gasto ÷ count(orders)</t>
  </si>
  <si>
    <t xml:space="preserve">Diária; decisão de escala semanal</t>
  </si>
  <si>
    <t xml:space="preserve">Unit economics: CPA alvo; alerta = CPA de equilíbrio</t>
  </si>
  <si>
    <t xml:space="preserve">ROAS — receita do Stripe</t>
  </si>
  <si>
    <t xml:space="preserve">Receita bruta da 1ª compra (pedido + upsells) ÷ gasto.</t>
  </si>
  <si>
    <t xml:space="preserve">Stripe: cobranças do período (pedidos + PaymentIntents/Subscriptions com metadata upsell). Gasto: Ads Manager.</t>
  </si>
  <si>
    <t xml:space="preserve">receita bruta Stripe ÷ gasto</t>
  </si>
  <si>
    <t xml:space="preserve">Semanal</t>
  </si>
  <si>
    <t xml:space="preserve">Unit economics: ROAS alvo; alerta = ROAS de equilíbrio</t>
  </si>
  <si>
    <t xml:space="preserve">ROAS reportado pelo Meta (Pixel)</t>
  </si>
  <si>
    <t xml:space="preserve">Valor dos eventos Purchase ÷ gasto. Não inclui upsells.</t>
  </si>
  <si>
    <t xml:space="preserve">Meta Ads Manager: "Purchase ROAS". O value do purchase é o valor do pedido (components/checkout/ThankYou.tsx).</t>
  </si>
  <si>
    <t xml:space="preserve">purchase value ÷ gasto</t>
  </si>
  <si>
    <t xml:space="preserve">Unit economics: ROAS alvo (Pixel); alerta = equilíbrio (Pixel)</t>
  </si>
  <si>
    <t xml:space="preserve">Funil</t>
  </si>
  <si>
    <t xml:space="preserve">Visitantes que abrem a 1ª pergunta.</t>
  </si>
  <si>
    <t xml:space="preserve">GA4/PostHog: quiz_start ÷ sessões com landing /quiz. Meta: quiz_start (trackCustom).</t>
  </si>
  <si>
    <t xml:space="preserve">quiz_start ÷ visitantes</t>
  </si>
  <si>
    <t xml:space="preserve">Conclusão do quiz</t>
  </si>
  <si>
    <t xml:space="preserve">Quem iniciou e terminou as 8 perguntas (+ contato opcional).</t>
  </si>
  <si>
    <t xml:space="preserve">GA4/PostHog: quiz_complete ÷ quiz_start. Meta: Lead. Supabase: quiz_responses.</t>
  </si>
  <si>
    <t xml:space="preserve">quiz_complete ÷ quiz_start</t>
  </si>
  <si>
    <t xml:space="preserve">Quem concluiu o quiz e chegou à oferta (depois de /analyzing).</t>
  </si>
  <si>
    <t xml:space="preserve">GA4/PostHog: view_offer ÷ quiz_complete. Meta: ViewContent.</t>
  </si>
  <si>
    <t xml:space="preserve">view_offer ÷ quiz_complete</t>
  </si>
  <si>
    <t xml:space="preserve">Quem viu a oferta e abriu o checkout.</t>
  </si>
  <si>
    <t xml:space="preserve">GA4/PostHog: begin_checkout ÷ view_offer. Meta: InitiateCheckout.</t>
  </si>
  <si>
    <t xml:space="preserve">begin_checkout ÷ view_offer</t>
  </si>
  <si>
    <t xml:space="preserve">Conversão do checkout</t>
  </si>
  <si>
    <t xml:space="preserve">Compras pagas ÷ inícios de checkout.</t>
  </si>
  <si>
    <t xml:space="preserve">Compras: Stripe/Supabase orders. Inícios: GA4/PostHog begin_checkout.</t>
  </si>
  <si>
    <t xml:space="preserve">count(orders) ÷ begin_checkout</t>
  </si>
  <si>
    <t xml:space="preserve">Compras pagas ÷ visitantes na landing.</t>
  </si>
  <si>
    <t xml:space="preserve">Supabase orders ÷ GA4 sessões com landing /quiz.</t>
  </si>
  <si>
    <t xml:space="preserve">count(orders) ÷ visitantes</t>
  </si>
  <si>
    <t xml:space="preserve">Funil (produto das taxas)</t>
  </si>
  <si>
    <t xml:space="preserve">Receita bruta da 1ª compra ÷ visitantes.</t>
  </si>
  <si>
    <t xml:space="preserve">Receita: Stripe. Visitantes: GA4 sessões com landing /quiz.</t>
  </si>
  <si>
    <t xml:space="preserve">receita bruta ÷ visitantes</t>
  </si>
  <si>
    <t xml:space="preserve">Funil (calculado)</t>
  </si>
  <si>
    <t xml:space="preserve">Captura de e-mail no quiz</t>
  </si>
  <si>
    <t xml:space="preserve">Respostas do quiz com e-mail ÷ respostas.</t>
  </si>
  <si>
    <t xml:space="preserve">Supabase quiz_responses: count(email is not null) ÷ count(*).</t>
  </si>
  <si>
    <t xml:space="preserve">com e-mail ÷ total</t>
  </si>
  <si>
    <t xml:space="preserve">Monetização</t>
  </si>
  <si>
    <t xml:space="preserve">Ticket médio (AOV)</t>
  </si>
  <si>
    <t xml:space="preserve">Valor cobrado por pedido (após cupom, sem upsells).</t>
  </si>
  <si>
    <t xml:space="preserve">Supabase orders: avg(amount_cents) ÷ 100, com currency = 'usd'. Stripe: amount_total da Checkout Session.</t>
  </si>
  <si>
    <t xml:space="preserve">soma(amount_cents) ÷ 100 ÷ pedidos</t>
  </si>
  <si>
    <t xml:space="preserve">Unit economics (calculado)</t>
  </si>
  <si>
    <t xml:space="preserve">Participação de kits (Kit 3 + Kit 6)</t>
  </si>
  <si>
    <t xml:space="preserve">Pedidos de Kit 3 ou Kit 6 ÷ pedidos.</t>
  </si>
  <si>
    <t xml:space="preserve">Supabase orders.plan in ('kit3', 'kit6').</t>
  </si>
  <si>
    <t xml:space="preserve">pedidos de kit ÷ pedidos</t>
  </si>
  <si>
    <t xml:space="preserve">Premissas §4 (HIPÓTESE)</t>
  </si>
  <si>
    <t xml:space="preserve">Pedidos com o bump ÷ pedidos.</t>
  </si>
  <si>
    <t xml:space="preserve">Supabase orders.bump = true.</t>
  </si>
  <si>
    <t xml:space="preserve">count(bump) ÷ count(orders)</t>
  </si>
  <si>
    <t xml:space="preserve">Take rate do upsell 1</t>
  </si>
  <si>
    <t xml:space="preserve">Aceites do Kit 6 único ÷ compradores de 1 unidade ou Kit 3.</t>
  </si>
  <si>
    <t xml:space="preserve">GA4/PostHog/Meta: upsell_accepted com offer = kit6. Stripe: PaymentIntents com metadata upsell = kit6 (inclui o caminho com 3-D Secure, que não dispara o evento). Supabase orders.upsells.</t>
  </si>
  <si>
    <t xml:space="preserve">aceites kit6 ÷ pedidos single/kit3</t>
  </si>
  <si>
    <t xml:space="preserve">Take rate do upsell 2</t>
  </si>
  <si>
    <t xml:space="preserve">Assinaturas do upsell ÷ compradores de 1 unidade ou Kit 3.</t>
  </si>
  <si>
    <t xml:space="preserve">GA4/PostHog/Meta: upsell_accepted com offer = subscription. Stripe: Subscriptions com metadata upsell = subscription.</t>
  </si>
  <si>
    <t xml:space="preserve">aceites subscription ÷ pedidos single/kit3</t>
  </si>
  <si>
    <t xml:space="preserve">Uso do cupom RENOVA10</t>
  </si>
  <si>
    <t xml:space="preserve">Pedidos com o cupom ÷ pedidos (mais uso = menos margem que o previsto).</t>
  </si>
  <si>
    <t xml:space="preserve">Stripe: Checkout Sessions com promotion code RENOVA10 (total_details.amount_discount &gt; 0).</t>
  </si>
  <si>
    <t xml:space="preserve">pedidos com cupom ÷ pedidos</t>
  </si>
  <si>
    <t xml:space="preserve">Premissas §3 (HIPÓTESE)</t>
  </si>
  <si>
    <t xml:space="preserve">Pós-venda</t>
  </si>
  <si>
    <t xml:space="preserve">Taxa de reembolso</t>
  </si>
  <si>
    <t xml:space="preserve">Valor reembolsado ÷ receita da 1ª compra (garantia de 30 dias).</t>
  </si>
  <si>
    <t xml:space="preserve">Stripe: Refunds / relatório de saldo. O webhook não grava reembolsos em orders.status.</t>
  </si>
  <si>
    <t xml:space="preserve">reembolsos ÷ receita bruta</t>
  </si>
  <si>
    <t xml:space="preserve">Premissas §8 (HIPÓTESE)</t>
  </si>
  <si>
    <t xml:space="preserve">Disputas (chargebacks) ÷ pedidos.</t>
  </si>
  <si>
    <t xml:space="preserve">Stripe: Disputes.</t>
  </si>
  <si>
    <t xml:space="preserve">disputas ÷ pedidos</t>
  </si>
  <si>
    <t xml:space="preserve">Retenção do Kit 6</t>
  </si>
  <si>
    <t xml:space="preserve">Cobranças pagas por assinatura de Kit 6 (média, inclui a 1ª).</t>
  </si>
  <si>
    <t xml:space="preserve">Stripe: faturas pagas por assinatura do price STRIPE_PRICE_KIT6_MONTHLY.</t>
  </si>
  <si>
    <t xml:space="preserve">faturas pagas ÷ assinaturas</t>
  </si>
  <si>
    <t xml:space="preserve">Mensal</t>
  </si>
  <si>
    <t xml:space="preserve">Premissas §5 (HIPÓTESE)</t>
  </si>
  <si>
    <t xml:space="preserve">Retenção da assinatura do upsell 2</t>
  </si>
  <si>
    <t xml:space="preserve">Cobranças pagas por assinatura do upsell 2 (média, inclui a 1ª).</t>
  </si>
  <si>
    <t xml:space="preserve">Stripe: faturas pagas por assinatura do price STRIPE_PRICE_UPSELL_SUB.</t>
  </si>
  <si>
    <t xml:space="preserve">Margem de contribuição após mídia</t>
  </si>
  <si>
    <t xml:space="preserve">(Receita líquida − custos variáveis − gasto) ÷ receita líquida.</t>
  </si>
  <si>
    <t xml:space="preserve">Stripe (receita, reembolsos, taxas) + custos da aba Premissas + gasto do Ads Manager.</t>
  </si>
  <si>
    <t xml:space="preserve">(receita líquida − custos − gasto) ÷ receita líquida</t>
  </si>
  <si>
    <t xml:space="preserve">Premissas §9 (HIPÓTESE); alerta = 0% (equilíbrio)</t>
  </si>
  <si>
    <t xml:space="preserve">Rastreamento</t>
  </si>
  <si>
    <t xml:space="preserve">Cobertura do rastreamento</t>
  </si>
  <si>
    <t xml:space="preserve">Eventos Purchase do Pixel ÷ pedidos pagos no Stripe.</t>
  </si>
  <si>
    <t xml:space="preserve">Meta Events Manager (Purchase) ÷ Supabase orders. Perde-se por recusa de cookies e por quem fecha a página nos upsells (purchase só dispara em /thank-you).</t>
  </si>
  <si>
    <t xml:space="preserve">Purchase do Pixel ÷ count(orders)</t>
  </si>
  <si>
    <t xml:space="preserve">Como usar esta planilha</t>
  </si>
  <si>
    <t xml:space="preserve">Antes de tudo</t>
  </si>
  <si>
    <t xml:space="preserve">1</t>
  </si>
  <si>
    <t xml:space="preserve">Abra a aba Premissas e preencha o custo do produto por unidade (COGS) e o frete por envio (seção 6). Enquanto estiverem vazios, margem, CPA, ROAS, CPC máximo e custo máximo por quiz mostram "preencha o custo" — de propósito, para não exibir um número enganoso.</t>
  </si>
  <si>
    <t xml:space="preserve">2</t>
  </si>
  <si>
    <t xml:space="preserve">Só edite células em azul com fundo amarelo. Preto = fórmula; verde = link de outra aba. Percentuais são frações: 0,25 = 25%.</t>
  </si>
  <si>
    <t xml:space="preserve">3</t>
  </si>
  <si>
    <t xml:space="preserve">Cada premissa tem um rótulo: "fonte: código" (preços e unidades de lib/products.ts e scripts/stripe-setup.ts — mude no código e aqui ao mesmo tempo), "conferir" (taxas do Stripe: confirmar na conta do cliente) e "HIPÓTESE: substituir por dados reais" (conversões, take rates, mix, reembolso, retenção, metas). Nenhuma hipótese é dado real: são pontos de partida para o cálculo.</t>
  </si>
  <si>
    <t xml:space="preserve">Como ler</t>
  </si>
  <si>
    <t xml:space="preserve">4</t>
  </si>
  <si>
    <t xml:space="preserve">Unit economics: receita, custos e margem de contribuição por comprador na 1ª compra (Kit 6 conta só a 1ª cobrança mensal). CPA de equilíbrio = máximo de mídia por compra sem prejuízo; CPA alvo = o que sobra para mídia mantendo a margem-alvo. Há dois ROAS: o do Stripe (pedido + upsells) e o do Pixel (só o pedido, que é o "Purchase ROAS" do Meta). A seção 4 (LTV) só muda quando a retenção for maior que 1.</t>
  </si>
  <si>
    <t xml:space="preserve">5</t>
  </si>
  <si>
    <t xml:space="preserve">Funil: quantidades por 1.000 visitantes em cada etapa (quiz_start → quiz_complete → view_offer → begin_checkout → purchase → upsell_accepted), receita por visitante, CPC máximo e custo máximo por quiz concluído (equilíbrio e margem-alvo). Compare o custo por quiz com o custo por Lead do Meta.</t>
  </si>
  <si>
    <t xml:space="preserve">6</t>
  </si>
  <si>
    <t xml:space="preserve">KPIs: uma linha por indicador, com o evento ou a tabela exata (GA4/PostHog/Meta Pixel de lib/analytics.ts, Stripe, Supabase quiz_responses/orders). Preencha "Valor medido" na cadência indicada; o Status mostra OK, abaixo/acima da meta ou ALERTA. Os limites de alerta usam as tolerâncias da seção 11 das Premissas; nos custos de mídia o alerta é o ponto de equilíbrio.</t>
  </si>
  <si>
    <t xml:space="preserve">Substituir hipóteses por dados</t>
  </si>
  <si>
    <t xml:space="preserve">7</t>
  </si>
  <si>
    <t xml:space="preserve">Quando houver vendas, troque as hipóteses pelos números medidos: mix, bump e upsells em Supabase orders; cupom, reembolsos, disputas e retenção no Stripe; taxas do funil em GA4/PostHog (eventos só contam quem aceitou cookies — use quiz_responses e orders para os totais). Troque o rótulo para a fonte real.</t>
  </si>
  <si>
    <t xml:space="preserve">8</t>
  </si>
  <si>
    <t xml:space="preserve">Para contar compras, use Stripe/Supabase, não o evento purchase: ele só dispara em /thank-you, depois dos upsells, e depende do consentimento de cookies. Upsells pagos via 3-D Secure não disparam upsell_accepted nem gravam orders.upsells — conte pelos metadados do Stripe.</t>
  </si>
  <si>
    <t xml:space="preserve">Limites do modelo</t>
  </si>
  <si>
    <t xml:space="preserve">9</t>
  </si>
  <si>
    <t xml:space="preserve">Não inclui custos fixos (equipe, ferramentas, hospedagem, vídeos), impostos sobre vendas, recompra do Kit 3 nem moedas fora do USD (os preços em outras moedas estão em lib/products.ts). Os reembolsos são tratados de forma conservadora: a taxa do Stripe não volta e o produto não é recuperado.</t>
  </si>
  <si>
    <t xml:space="preserve">10</t>
  </si>
  <si>
    <t xml:space="preserve">Divergência encontrada no código: o cupom RENOVA10 é criado sem applies_to, então o Stripe desconta também o order bump, mas o carrinho (CheckoutFlow.tsx) calcula o desconto só sobre o plano. A chave "O cupom também desconta o order bump?" (Premissas §3) segue o que o Stripe cobra.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</si>
</sst>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"/>
    <numFmt numFmtId="167" formatCode="0.0%"/>
    <numFmt numFmtId="168" formatCode="0"/>
    <numFmt numFmtId="169" formatCode="0.0"/>
    <numFmt numFmtId="170" formatCode="@"/>
    <numFmt numFmtId="171" formatCode="#,##0.00"/>
    <numFmt numFmtId="172" formatCode="0.00\x"/>
    <numFmt numFmtId="173" formatCode="#,##0.0"/>
    <numFmt numFmtId="174" formatCode="0.0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4D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11"/>
      <color rgb="FF1F3B4D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9"/>
      <name val="Consola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4D"/>
        <bgColor rgb="FF003366"/>
      </patternFill>
    </fill>
    <fill>
      <patternFill patternType="solid">
        <fgColor rgb="FFD9E2E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9E2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2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2" fontId="12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2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6100"/>
      <rgbColor rgb="FF375623"/>
      <rgbColor rgb="FF9C5700"/>
      <rgbColor rgb="FF993366"/>
      <rgbColor rgb="FF333399"/>
      <rgbColor rgb="FF1F3B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96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customFormat="false" ht="15" hidden="false" customHeight="false" outlineLevel="0" collapsed="false">
      <c r="A4" s="4" t="s">
        <v>7</v>
      </c>
      <c r="B4" s="5"/>
      <c r="C4" s="5"/>
      <c r="D4" s="5"/>
      <c r="E4" s="5"/>
    </row>
    <row r="5" customFormat="false" ht="15" hidden="false" customHeight="false" outlineLevel="0" collapsed="false">
      <c r="A5" s="6" t="s">
        <v>8</v>
      </c>
      <c r="B5" s="7" t="n">
        <v>29.9</v>
      </c>
      <c r="C5" s="6" t="s">
        <v>9</v>
      </c>
      <c r="D5" s="8" t="s">
        <v>10</v>
      </c>
      <c r="E5" s="9" t="s">
        <v>11</v>
      </c>
    </row>
    <row r="6" customFormat="false" ht="15" hidden="false" customHeight="false" outlineLevel="0" collapsed="false">
      <c r="A6" s="6" t="s">
        <v>12</v>
      </c>
      <c r="B6" s="7" t="n">
        <v>80</v>
      </c>
      <c r="C6" s="6" t="s">
        <v>9</v>
      </c>
      <c r="D6" s="8" t="s">
        <v>10</v>
      </c>
      <c r="E6" s="9" t="s">
        <v>13</v>
      </c>
    </row>
    <row r="7" customFormat="false" ht="15" hidden="false" customHeight="false" outlineLevel="0" collapsed="false">
      <c r="A7" s="6" t="s">
        <v>14</v>
      </c>
      <c r="B7" s="7" t="n">
        <v>140</v>
      </c>
      <c r="C7" s="6" t="s">
        <v>15</v>
      </c>
      <c r="D7" s="8" t="s">
        <v>10</v>
      </c>
      <c r="E7" s="9" t="s">
        <v>16</v>
      </c>
    </row>
    <row r="8" customFormat="false" ht="15" hidden="false" customHeight="false" outlineLevel="0" collapsed="false">
      <c r="A8" s="6" t="s">
        <v>17</v>
      </c>
      <c r="B8" s="7" t="n">
        <v>19.9</v>
      </c>
      <c r="C8" s="6" t="s">
        <v>9</v>
      </c>
      <c r="D8" s="8" t="s">
        <v>10</v>
      </c>
      <c r="E8" s="9" t="s">
        <v>18</v>
      </c>
    </row>
    <row r="9" customFormat="false" ht="15" hidden="false" customHeight="false" outlineLevel="0" collapsed="false">
      <c r="A9" s="6" t="s">
        <v>19</v>
      </c>
      <c r="B9" s="7" t="n">
        <v>77</v>
      </c>
      <c r="C9" s="6" t="s">
        <v>20</v>
      </c>
      <c r="D9" s="8" t="s">
        <v>10</v>
      </c>
      <c r="E9" s="9" t="s">
        <v>21</v>
      </c>
    </row>
    <row r="10" customFormat="false" ht="15" hidden="false" customHeight="false" outlineLevel="0" collapsed="false">
      <c r="A10" s="6" t="s">
        <v>22</v>
      </c>
      <c r="B10" s="7" t="n">
        <v>56</v>
      </c>
      <c r="C10" s="6" t="s">
        <v>15</v>
      </c>
      <c r="D10" s="8" t="s">
        <v>10</v>
      </c>
      <c r="E10" s="9" t="s">
        <v>23</v>
      </c>
    </row>
    <row r="11" customFormat="false" ht="15" hidden="false" customHeight="false" outlineLevel="0" collapsed="false">
      <c r="A11" s="4" t="s">
        <v>24</v>
      </c>
      <c r="B11" s="5"/>
      <c r="C11" s="5"/>
      <c r="D11" s="5"/>
      <c r="E11" s="5"/>
    </row>
    <row r="12" customFormat="false" ht="15" hidden="false" customHeight="false" outlineLevel="0" collapsed="false">
      <c r="A12" s="6" t="s">
        <v>25</v>
      </c>
      <c r="B12" s="10" t="n">
        <v>1</v>
      </c>
      <c r="C12" s="6" t="s">
        <v>26</v>
      </c>
      <c r="D12" s="8" t="s">
        <v>10</v>
      </c>
      <c r="E12" s="9" t="s">
        <v>27</v>
      </c>
    </row>
    <row r="13" customFormat="false" ht="15" hidden="false" customHeight="false" outlineLevel="0" collapsed="false">
      <c r="A13" s="6" t="s">
        <v>28</v>
      </c>
      <c r="B13" s="10" t="n">
        <v>3</v>
      </c>
      <c r="C13" s="6" t="s">
        <v>26</v>
      </c>
      <c r="D13" s="8" t="s">
        <v>10</v>
      </c>
      <c r="E13" s="9" t="s">
        <v>29</v>
      </c>
    </row>
    <row r="14" customFormat="false" ht="15" hidden="false" customHeight="false" outlineLevel="0" collapsed="false">
      <c r="A14" s="6" t="s">
        <v>30</v>
      </c>
      <c r="B14" s="10" t="n">
        <v>6</v>
      </c>
      <c r="C14" s="6" t="s">
        <v>31</v>
      </c>
      <c r="D14" s="8" t="s">
        <v>10</v>
      </c>
      <c r="E14" s="9" t="s">
        <v>32</v>
      </c>
    </row>
    <row r="15" customFormat="false" ht="15" hidden="false" customHeight="false" outlineLevel="0" collapsed="false">
      <c r="A15" s="6" t="s">
        <v>33</v>
      </c>
      <c r="B15" s="10" t="n">
        <v>1</v>
      </c>
      <c r="C15" s="6" t="s">
        <v>26</v>
      </c>
      <c r="D15" s="8" t="s">
        <v>10</v>
      </c>
      <c r="E15" s="9" t="s">
        <v>34</v>
      </c>
    </row>
    <row r="16" customFormat="false" ht="15" hidden="false" customHeight="false" outlineLevel="0" collapsed="false">
      <c r="A16" s="6" t="s">
        <v>35</v>
      </c>
      <c r="B16" s="10" t="n">
        <v>6</v>
      </c>
      <c r="C16" s="6" t="s">
        <v>26</v>
      </c>
      <c r="D16" s="8" t="s">
        <v>10</v>
      </c>
      <c r="E16" s="9" t="s">
        <v>36</v>
      </c>
    </row>
    <row r="17" customFormat="false" ht="15" hidden="false" customHeight="false" outlineLevel="0" collapsed="false">
      <c r="A17" s="6" t="s">
        <v>37</v>
      </c>
      <c r="B17" s="10" t="n">
        <v>3</v>
      </c>
      <c r="C17" s="6" t="s">
        <v>31</v>
      </c>
      <c r="D17" s="8" t="s">
        <v>10</v>
      </c>
      <c r="E17" s="9" t="s">
        <v>38</v>
      </c>
    </row>
    <row r="18" customFormat="false" ht="15" hidden="false" customHeight="false" outlineLevel="0" collapsed="false">
      <c r="A18" s="4" t="s">
        <v>39</v>
      </c>
      <c r="B18" s="5"/>
      <c r="C18" s="5"/>
      <c r="D18" s="5"/>
      <c r="E18" s="5"/>
    </row>
    <row r="19" customFormat="false" ht="28.5" hidden="false" customHeight="true" outlineLevel="0" collapsed="false">
      <c r="A19" s="6" t="s">
        <v>40</v>
      </c>
      <c r="B19" s="11" t="n">
        <v>0.1</v>
      </c>
      <c r="C19" s="6" t="s">
        <v>41</v>
      </c>
      <c r="D19" s="8" t="s">
        <v>10</v>
      </c>
      <c r="E19" s="9" t="s">
        <v>42</v>
      </c>
    </row>
    <row r="20" customFormat="false" ht="28.5" hidden="false" customHeight="true" outlineLevel="0" collapsed="false">
      <c r="A20" s="6" t="s">
        <v>43</v>
      </c>
      <c r="B20" s="12" t="n">
        <v>1</v>
      </c>
      <c r="C20" s="6" t="s">
        <v>44</v>
      </c>
      <c r="D20" s="8" t="s">
        <v>10</v>
      </c>
      <c r="E20" s="9" t="s">
        <v>45</v>
      </c>
    </row>
    <row r="21" customFormat="false" ht="28.5" hidden="false" customHeight="true" outlineLevel="0" collapsed="false">
      <c r="A21" s="6" t="s">
        <v>46</v>
      </c>
      <c r="B21" s="11" t="n">
        <v>0.4</v>
      </c>
      <c r="C21" s="6" t="s">
        <v>47</v>
      </c>
      <c r="D21" s="13" t="s">
        <v>48</v>
      </c>
      <c r="E21" s="9" t="s">
        <v>49</v>
      </c>
    </row>
    <row r="22" customFormat="false" ht="15" hidden="false" customHeight="false" outlineLevel="0" collapsed="false">
      <c r="A22" s="4" t="s">
        <v>50</v>
      </c>
      <c r="B22" s="5"/>
      <c r="C22" s="5"/>
      <c r="D22" s="5"/>
      <c r="E22" s="5"/>
    </row>
    <row r="23" customFormat="false" ht="15" hidden="false" customHeight="false" outlineLevel="0" collapsed="false">
      <c r="A23" s="6" t="s">
        <v>51</v>
      </c>
      <c r="B23" s="11" t="n">
        <v>0.2</v>
      </c>
      <c r="C23" s="6" t="s">
        <v>47</v>
      </c>
      <c r="D23" s="13" t="s">
        <v>48</v>
      </c>
      <c r="E23" s="9" t="s">
        <v>52</v>
      </c>
    </row>
    <row r="24" customFormat="false" ht="15" hidden="false" customHeight="false" outlineLevel="0" collapsed="false">
      <c r="A24" s="6" t="s">
        <v>53</v>
      </c>
      <c r="B24" s="11" t="n">
        <v>0.55</v>
      </c>
      <c r="C24" s="6" t="s">
        <v>47</v>
      </c>
      <c r="D24" s="13" t="s">
        <v>48</v>
      </c>
      <c r="E24" s="9" t="s">
        <v>54</v>
      </c>
    </row>
    <row r="25" customFormat="false" ht="15" hidden="false" customHeight="false" outlineLevel="0" collapsed="false">
      <c r="A25" s="6" t="s">
        <v>55</v>
      </c>
      <c r="B25" s="11" t="n">
        <v>0.25</v>
      </c>
      <c r="C25" s="6" t="s">
        <v>47</v>
      </c>
      <c r="D25" s="13" t="s">
        <v>48</v>
      </c>
      <c r="E25" s="9" t="s">
        <v>56</v>
      </c>
    </row>
    <row r="26" customFormat="false" ht="15" hidden="false" customHeight="false" outlineLevel="0" collapsed="false">
      <c r="A26" s="14" t="s">
        <v>57</v>
      </c>
      <c r="B26" s="15" t="n">
        <f aca="false">SUM($B$23,$B$24,$B$25)</f>
        <v>1</v>
      </c>
      <c r="D26" s="16" t="str">
        <f aca="false">IF(ABS($B$26-1)&lt;0.0001,"OK","AJUSTAR: soma ≠ 100%")</f>
        <v>OK</v>
      </c>
      <c r="E26" s="9" t="s">
        <v>58</v>
      </c>
    </row>
    <row r="27" customFormat="false" ht="15" hidden="false" customHeight="false" outlineLevel="0" collapsed="false">
      <c r="A27" s="6" t="s">
        <v>59</v>
      </c>
      <c r="B27" s="11" t="n">
        <v>0.25</v>
      </c>
      <c r="C27" s="6" t="s">
        <v>47</v>
      </c>
      <c r="D27" s="13" t="s">
        <v>48</v>
      </c>
      <c r="E27" s="9" t="s">
        <v>60</v>
      </c>
    </row>
    <row r="28" customFormat="false" ht="28.5" hidden="false" customHeight="true" outlineLevel="0" collapsed="false">
      <c r="A28" s="6" t="s">
        <v>61</v>
      </c>
      <c r="B28" s="11" t="n">
        <v>0.15</v>
      </c>
      <c r="C28" s="6" t="s">
        <v>62</v>
      </c>
      <c r="D28" s="13" t="s">
        <v>48</v>
      </c>
      <c r="E28" s="9" t="s">
        <v>63</v>
      </c>
    </row>
    <row r="29" customFormat="false" ht="28.5" hidden="false" customHeight="true" outlineLevel="0" collapsed="false">
      <c r="A29" s="6" t="s">
        <v>64</v>
      </c>
      <c r="B29" s="11" t="n">
        <v>0.1</v>
      </c>
      <c r="C29" s="6" t="s">
        <v>62</v>
      </c>
      <c r="D29" s="13" t="s">
        <v>48</v>
      </c>
      <c r="E29" s="9" t="s">
        <v>65</v>
      </c>
    </row>
    <row r="30" customFormat="false" ht="15" hidden="false" customHeight="false" outlineLevel="0" collapsed="false">
      <c r="A30" s="4" t="s">
        <v>66</v>
      </c>
      <c r="B30" s="5"/>
      <c r="C30" s="5"/>
      <c r="D30" s="5"/>
      <c r="E30" s="5"/>
    </row>
    <row r="31" customFormat="false" ht="28.5" hidden="false" customHeight="true" outlineLevel="0" collapsed="false">
      <c r="A31" s="6" t="s">
        <v>67</v>
      </c>
      <c r="B31" s="17" t="n">
        <v>1</v>
      </c>
      <c r="C31" s="6" t="s">
        <v>68</v>
      </c>
      <c r="D31" s="13" t="s">
        <v>48</v>
      </c>
      <c r="E31" s="9" t="s">
        <v>69</v>
      </c>
    </row>
    <row r="32" customFormat="false" ht="15" hidden="false" customHeight="false" outlineLevel="0" collapsed="false">
      <c r="A32" s="6" t="s">
        <v>70</v>
      </c>
      <c r="B32" s="17" t="n">
        <v>1</v>
      </c>
      <c r="C32" s="6" t="s">
        <v>68</v>
      </c>
      <c r="D32" s="13" t="s">
        <v>48</v>
      </c>
      <c r="E32" s="9" t="s">
        <v>71</v>
      </c>
    </row>
    <row r="33" customFormat="false" ht="15" hidden="false" customHeight="false" outlineLevel="0" collapsed="false">
      <c r="A33" s="4" t="s">
        <v>72</v>
      </c>
      <c r="B33" s="5"/>
      <c r="C33" s="5"/>
      <c r="D33" s="5"/>
      <c r="E33" s="5"/>
    </row>
    <row r="34" customFormat="false" ht="28.5" hidden="false" customHeight="true" outlineLevel="0" collapsed="false">
      <c r="A34" s="6" t="s">
        <v>73</v>
      </c>
      <c r="B34" s="7"/>
      <c r="C34" s="6" t="s">
        <v>74</v>
      </c>
      <c r="D34" s="13" t="s">
        <v>48</v>
      </c>
      <c r="E34" s="9" t="s">
        <v>75</v>
      </c>
    </row>
    <row r="35" customFormat="false" ht="15" hidden="false" customHeight="false" outlineLevel="0" collapsed="false">
      <c r="A35" s="6" t="s">
        <v>76</v>
      </c>
      <c r="B35" s="7"/>
      <c r="C35" s="6" t="s">
        <v>77</v>
      </c>
      <c r="D35" s="13" t="s">
        <v>48</v>
      </c>
      <c r="E35" s="9" t="s">
        <v>78</v>
      </c>
    </row>
    <row r="36" customFormat="false" ht="15" hidden="false" customHeight="false" outlineLevel="0" collapsed="false">
      <c r="A36" s="6" t="s">
        <v>79</v>
      </c>
      <c r="B36" s="7"/>
      <c r="C36" s="6" t="s">
        <v>77</v>
      </c>
      <c r="D36" s="13" t="s">
        <v>48</v>
      </c>
      <c r="E36" s="9" t="s">
        <v>80</v>
      </c>
    </row>
    <row r="37" customFormat="false" ht="28.5" hidden="false" customHeight="true" outlineLevel="0" collapsed="false">
      <c r="A37" s="6" t="s">
        <v>81</v>
      </c>
      <c r="B37" s="12" t="n">
        <v>1</v>
      </c>
      <c r="C37" s="6" t="s">
        <v>44</v>
      </c>
      <c r="D37" s="13" t="s">
        <v>48</v>
      </c>
      <c r="E37" s="9" t="s">
        <v>82</v>
      </c>
    </row>
    <row r="38" customFormat="false" ht="15" hidden="false" customHeight="false" outlineLevel="0" collapsed="false">
      <c r="A38" s="4" t="s">
        <v>83</v>
      </c>
      <c r="B38" s="5"/>
      <c r="C38" s="5"/>
      <c r="D38" s="5"/>
      <c r="E38" s="5"/>
    </row>
    <row r="39" customFormat="false" ht="15" hidden="false" customHeight="false" outlineLevel="0" collapsed="false">
      <c r="A39" s="6" t="s">
        <v>84</v>
      </c>
      <c r="B39" s="11" t="n">
        <v>0.029</v>
      </c>
      <c r="C39" s="6" t="s">
        <v>85</v>
      </c>
      <c r="D39" s="18" t="s">
        <v>86</v>
      </c>
      <c r="E39" s="9" t="s">
        <v>87</v>
      </c>
    </row>
    <row r="40" customFormat="false" ht="15" hidden="false" customHeight="false" outlineLevel="0" collapsed="false">
      <c r="A40" s="6" t="s">
        <v>88</v>
      </c>
      <c r="B40" s="7" t="n">
        <v>0.3</v>
      </c>
      <c r="C40" s="6" t="s">
        <v>89</v>
      </c>
      <c r="D40" s="18" t="s">
        <v>86</v>
      </c>
      <c r="E40" s="9" t="s">
        <v>90</v>
      </c>
    </row>
    <row r="41" customFormat="false" ht="15" hidden="false" customHeight="false" outlineLevel="0" collapsed="false">
      <c r="A41" s="6" t="s">
        <v>91</v>
      </c>
      <c r="B41" s="11" t="n">
        <v>0.007</v>
      </c>
      <c r="C41" s="6" t="s">
        <v>92</v>
      </c>
      <c r="D41" s="18" t="s">
        <v>86</v>
      </c>
      <c r="E41" s="9" t="s">
        <v>93</v>
      </c>
    </row>
    <row r="42" customFormat="false" ht="15" hidden="false" customHeight="false" outlineLevel="0" collapsed="false">
      <c r="A42" s="6" t="s">
        <v>94</v>
      </c>
      <c r="B42" s="11" t="n">
        <v>0</v>
      </c>
      <c r="C42" s="6" t="s">
        <v>95</v>
      </c>
      <c r="D42" s="18" t="s">
        <v>86</v>
      </c>
      <c r="E42" s="9" t="s">
        <v>96</v>
      </c>
    </row>
    <row r="43" customFormat="false" ht="15" hidden="false" customHeight="false" outlineLevel="0" collapsed="false">
      <c r="A43" s="6" t="s">
        <v>97</v>
      </c>
      <c r="B43" s="7" t="n">
        <v>15</v>
      </c>
      <c r="C43" s="6" t="s">
        <v>98</v>
      </c>
      <c r="D43" s="18" t="s">
        <v>86</v>
      </c>
      <c r="E43" s="9" t="s">
        <v>99</v>
      </c>
    </row>
    <row r="44" customFormat="false" ht="15" hidden="false" customHeight="false" outlineLevel="0" collapsed="false">
      <c r="A44" s="4" t="s">
        <v>100</v>
      </c>
      <c r="B44" s="5"/>
      <c r="C44" s="5"/>
      <c r="D44" s="5"/>
      <c r="E44" s="5"/>
    </row>
    <row r="45" customFormat="false" ht="28.5" hidden="false" customHeight="true" outlineLevel="0" collapsed="false">
      <c r="A45" s="6" t="s">
        <v>101</v>
      </c>
      <c r="B45" s="11" t="n">
        <v>0.05</v>
      </c>
      <c r="C45" s="6" t="s">
        <v>102</v>
      </c>
      <c r="D45" s="13" t="s">
        <v>48</v>
      </c>
      <c r="E45" s="9" t="s">
        <v>103</v>
      </c>
    </row>
    <row r="46" customFormat="false" ht="15" hidden="false" customHeight="false" outlineLevel="0" collapsed="false">
      <c r="A46" s="6" t="s">
        <v>104</v>
      </c>
      <c r="B46" s="11" t="n">
        <v>0.005</v>
      </c>
      <c r="C46" s="6" t="s">
        <v>47</v>
      </c>
      <c r="D46" s="13" t="s">
        <v>48</v>
      </c>
      <c r="E46" s="9" t="s">
        <v>105</v>
      </c>
    </row>
    <row r="47" customFormat="false" ht="15" hidden="false" customHeight="false" outlineLevel="0" collapsed="false">
      <c r="A47" s="4" t="s">
        <v>106</v>
      </c>
      <c r="B47" s="5"/>
      <c r="C47" s="5"/>
      <c r="D47" s="5"/>
      <c r="E47" s="5"/>
    </row>
    <row r="48" customFormat="false" ht="15" hidden="false" customHeight="false" outlineLevel="0" collapsed="false">
      <c r="A48" s="6" t="s">
        <v>107</v>
      </c>
      <c r="B48" s="11" t="n">
        <v>0.2</v>
      </c>
      <c r="C48" s="6" t="s">
        <v>108</v>
      </c>
      <c r="D48" s="13" t="s">
        <v>48</v>
      </c>
      <c r="E48" s="9" t="s">
        <v>109</v>
      </c>
    </row>
    <row r="49" customFormat="false" ht="15" hidden="false" customHeight="false" outlineLevel="0" collapsed="false">
      <c r="A49" s="4" t="s">
        <v>110</v>
      </c>
      <c r="B49" s="5"/>
      <c r="C49" s="5"/>
      <c r="D49" s="5"/>
      <c r="E49" s="5"/>
    </row>
    <row r="50" customFormat="false" ht="15" hidden="false" customHeight="false" outlineLevel="0" collapsed="false">
      <c r="A50" s="6" t="s">
        <v>111</v>
      </c>
      <c r="B50" s="10" t="n">
        <v>1000</v>
      </c>
      <c r="C50" s="6" t="s">
        <v>112</v>
      </c>
      <c r="D50" s="9" t="s">
        <v>113</v>
      </c>
      <c r="E50" s="9" t="s">
        <v>114</v>
      </c>
    </row>
    <row r="51" customFormat="false" ht="15" hidden="false" customHeight="false" outlineLevel="0" collapsed="false">
      <c r="A51" s="6" t="s">
        <v>115</v>
      </c>
      <c r="B51" s="11" t="n">
        <v>0.8</v>
      </c>
      <c r="C51" s="6" t="s">
        <v>116</v>
      </c>
      <c r="D51" s="13" t="s">
        <v>48</v>
      </c>
      <c r="E51" s="9" t="s">
        <v>117</v>
      </c>
    </row>
    <row r="52" customFormat="false" ht="15" hidden="false" customHeight="false" outlineLevel="0" collapsed="false">
      <c r="A52" s="6" t="s">
        <v>118</v>
      </c>
      <c r="B52" s="11" t="n">
        <v>0.6</v>
      </c>
      <c r="C52" s="6" t="s">
        <v>119</v>
      </c>
      <c r="D52" s="13" t="s">
        <v>48</v>
      </c>
      <c r="E52" s="9" t="s">
        <v>120</v>
      </c>
    </row>
    <row r="53" customFormat="false" ht="15" hidden="false" customHeight="false" outlineLevel="0" collapsed="false">
      <c r="A53" s="6" t="s">
        <v>121</v>
      </c>
      <c r="B53" s="11" t="n">
        <v>0.5</v>
      </c>
      <c r="C53" s="6" t="s">
        <v>122</v>
      </c>
      <c r="D53" s="13" t="s">
        <v>48</v>
      </c>
      <c r="E53" s="9" t="s">
        <v>123</v>
      </c>
    </row>
    <row r="54" customFormat="false" ht="15" hidden="false" customHeight="false" outlineLevel="0" collapsed="false">
      <c r="A54" s="6" t="s">
        <v>124</v>
      </c>
      <c r="B54" s="11" t="n">
        <v>0.85</v>
      </c>
      <c r="C54" s="6" t="s">
        <v>125</v>
      </c>
      <c r="D54" s="13" t="s">
        <v>48</v>
      </c>
      <c r="E54" s="9" t="s">
        <v>126</v>
      </c>
    </row>
    <row r="55" customFormat="false" ht="15" hidden="false" customHeight="false" outlineLevel="0" collapsed="false">
      <c r="A55" s="6" t="s">
        <v>127</v>
      </c>
      <c r="B55" s="11" t="n">
        <v>0.15</v>
      </c>
      <c r="C55" s="6" t="s">
        <v>128</v>
      </c>
      <c r="D55" s="13" t="s">
        <v>48</v>
      </c>
      <c r="E55" s="9"/>
    </row>
    <row r="56" customFormat="false" ht="23.85" hidden="false" customHeight="false" outlineLevel="0" collapsed="false">
      <c r="A56" s="6" t="s">
        <v>129</v>
      </c>
      <c r="B56" s="11" t="n">
        <v>0.4</v>
      </c>
      <c r="C56" s="6" t="s">
        <v>130</v>
      </c>
      <c r="D56" s="13" t="s">
        <v>48</v>
      </c>
      <c r="E56" s="9" t="s">
        <v>131</v>
      </c>
    </row>
    <row r="57" customFormat="false" ht="15" hidden="false" customHeight="false" outlineLevel="0" collapsed="false">
      <c r="A57" s="4" t="s">
        <v>132</v>
      </c>
      <c r="B57" s="5"/>
      <c r="C57" s="5"/>
      <c r="D57" s="5"/>
      <c r="E57" s="5"/>
    </row>
    <row r="58" customFormat="false" ht="15" hidden="false" customHeight="false" outlineLevel="0" collapsed="false">
      <c r="A58" s="6" t="s">
        <v>133</v>
      </c>
      <c r="B58" s="11" t="n">
        <v>0.01</v>
      </c>
      <c r="C58" s="6" t="s">
        <v>134</v>
      </c>
      <c r="D58" s="13" t="s">
        <v>48</v>
      </c>
      <c r="E58" s="9" t="s">
        <v>135</v>
      </c>
    </row>
    <row r="59" customFormat="false" ht="28.5" hidden="false" customHeight="true" outlineLevel="0" collapsed="false">
      <c r="A59" s="6" t="s">
        <v>136</v>
      </c>
      <c r="B59" s="11" t="n">
        <v>0.8</v>
      </c>
      <c r="C59" s="6" t="s">
        <v>137</v>
      </c>
      <c r="D59" s="13" t="s">
        <v>48</v>
      </c>
      <c r="E59" s="9" t="s">
        <v>138</v>
      </c>
    </row>
    <row r="60" customFormat="false" ht="15" hidden="false" customHeight="false" outlineLevel="0" collapsed="false">
      <c r="A60" s="6" t="s">
        <v>139</v>
      </c>
      <c r="B60" s="11" t="n">
        <v>0.3</v>
      </c>
      <c r="C60" s="6" t="s">
        <v>140</v>
      </c>
      <c r="D60" s="13" t="s">
        <v>48</v>
      </c>
      <c r="E60" s="9" t="s">
        <v>141</v>
      </c>
    </row>
    <row r="61" customFormat="false" ht="15" hidden="false" customHeight="false" outlineLevel="0" collapsed="false">
      <c r="A61" s="6" t="s">
        <v>142</v>
      </c>
      <c r="B61" s="11" t="n">
        <v>0.8</v>
      </c>
      <c r="C61" s="6" t="s">
        <v>143</v>
      </c>
      <c r="D61" s="13" t="s">
        <v>48</v>
      </c>
      <c r="E61" s="9" t="s">
        <v>144</v>
      </c>
    </row>
    <row r="62" customFormat="false" ht="15" hidden="false" customHeight="false" outlineLevel="0" collapsed="false">
      <c r="A62" s="6" t="s">
        <v>145</v>
      </c>
      <c r="B62" s="11" t="n">
        <v>1.2</v>
      </c>
      <c r="C62" s="6" t="s">
        <v>143</v>
      </c>
      <c r="D62" s="13" t="s">
        <v>48</v>
      </c>
      <c r="E62" s="9" t="s">
        <v>146</v>
      </c>
    </row>
  </sheetData>
  <mergeCells count="1">
    <mergeCell ref="A2:E2"/>
  </mergeCells>
  <dataValidations count="5">
    <dataValidation allowBlank="true" error="Use uma fração entre 0 e 1 (ex.: 0,25 = 25%)." errorStyle="stop" errorTitle="Percentual" operator="between" showDropDown="false" showErrorMessage="false" showInputMessage="false" sqref="B19 B21 B23:B25 B27:B29 B39 B41:B42 B45:B46 B48 B51:B56 B58:B60" type="decimal">
      <formula1>0</formula1>
      <formula2>1</formula2>
    </dataValidation>
    <dataValidation allowBlank="false" error="Use 0 ou 1." errorStyle="stop" errorTitle="Chave 0/1" operator="between" showDropDown="false" showErrorMessage="false" showInputMessage="false" sqref="B20 B37" type="list">
      <formula1>"0,1"</formula1>
      <formula2>0</formula2>
    </dataValidation>
    <dataValidation allowBlank="true" error="Valor em US$, maior ou igual a zero." errorStyle="stop" errorTitle="Valor em US$" operator="greaterThanOrEqual" showDropDown="false" showErrorMessage="false" showInputMessage="false" sqref="B34:B36 B40 B43" type="decimal">
      <formula1>0</formula1>
      <formula2>0</formula2>
    </dataValidation>
    <dataValidation allowBlank="false" error="Mínimo 1 (a 1ª cobrança)." errorStyle="stop" errorTitle="Cobranças" operator="greaterThanOrEqual" showDropDown="false" showErrorMessage="false" showInputMessage="false" sqref="B31:B32" type="decimal">
      <formula1>1</formula1>
      <formula2>0</formula2>
    </dataValidation>
    <dataValidation allowBlank="false" errorStyle="stop" operator="between" showDropDown="false" showErrorMessage="false" showInputMessage="false" sqref="B61:B62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8"/>
    <col collapsed="false" customWidth="true" hidden="false" outlineLevel="0" max="5" min="5" style="0" width="3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2" min="11" style="0" width="13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147</v>
      </c>
      <c r="F1" s="19" t="s">
        <v>148</v>
      </c>
    </row>
    <row r="2" customFormat="false" ht="27.75" hidden="false" customHeight="true" outlineLevel="0" collapsed="false">
      <c r="A2" s="2" t="s">
        <v>149</v>
      </c>
      <c r="B2" s="2"/>
      <c r="C2" s="2"/>
      <c r="D2" s="2"/>
    </row>
    <row r="3" customFormat="false" ht="30" hidden="false" customHeight="true" outlineLevel="0" collapsed="false">
      <c r="A3" s="3" t="s">
        <v>150</v>
      </c>
      <c r="B3" s="3" t="s">
        <v>3</v>
      </c>
      <c r="C3" s="3" t="s">
        <v>4</v>
      </c>
      <c r="D3" s="3" t="s">
        <v>151</v>
      </c>
      <c r="F3" s="3" t="s">
        <v>152</v>
      </c>
      <c r="G3" s="3" t="s">
        <v>153</v>
      </c>
      <c r="H3" s="3" t="s">
        <v>154</v>
      </c>
      <c r="I3" s="3" t="s">
        <v>155</v>
      </c>
      <c r="J3" s="3" t="s">
        <v>156</v>
      </c>
      <c r="K3" s="3" t="s">
        <v>157</v>
      </c>
      <c r="L3" s="3" t="s">
        <v>158</v>
      </c>
      <c r="M3" s="3" t="s">
        <v>159</v>
      </c>
    </row>
    <row r="4" customFormat="false" ht="28.5" hidden="false" customHeight="true" outlineLevel="0" collapsed="false">
      <c r="A4" s="20" t="s">
        <v>160</v>
      </c>
      <c r="B4" s="21" t="str">
        <f aca="false">IF(AND(ISNUMBER(Premissas!$B$34),ISNUMBER(Premissas!$B$35)),"sim","não — preencha o custo do produto e o frete na aba Premissas")</f>
        <v>não — preencha o custo do produto e o frete na aba Premissas</v>
      </c>
      <c r="C4" s="22"/>
      <c r="D4" s="23" t="s">
        <v>161</v>
      </c>
      <c r="F4" s="24" t="s">
        <v>162</v>
      </c>
      <c r="G4" s="25" t="n">
        <f aca="false">Premissas!$B$5</f>
        <v>29.9</v>
      </c>
      <c r="H4" s="26" t="n">
        <f aca="false">Premissas!$B$12</f>
        <v>1</v>
      </c>
      <c r="I4" s="27" t="str">
        <f aca="false">IF(ISNUMBER(Premissas!$B$34),H4*Premissas!$B$34,"preencha o custo")</f>
        <v>preencha o custo</v>
      </c>
      <c r="J4" s="27" t="str">
        <f aca="false">IF(ISNUMBER(Premissas!$B$35),1*(Premissas!$B$35+N(Premissas!$B$36)),"preencha o custo")</f>
        <v>preencha o custo</v>
      </c>
      <c r="K4" s="27" t="n">
        <f aca="false">G4*(Premissas!$B$39+Premissas!$B$42)+1*Premissas!$B$40</f>
        <v>1.1671</v>
      </c>
      <c r="L4" s="28" t="str">
        <f aca="false">IF(AND(ISNUMBER(I4),ISNUMBER(J4)),G4-I4-J4-K4,"preencha o custo")</f>
        <v>preencha o custo</v>
      </c>
      <c r="M4" s="29" t="str">
        <f aca="false">IF(ISNUMBER(L4),IF(G4&gt;0,L4/G4,0),"preencha o custo")</f>
        <v>preencha o custo</v>
      </c>
    </row>
    <row r="5" customFormat="false" ht="15" hidden="false" customHeight="false" outlineLevel="0" collapsed="false">
      <c r="A5" s="6" t="s">
        <v>163</v>
      </c>
      <c r="B5" s="30" t="str">
        <f aca="false">IF(ABS(Premissas!$B$26-1)&lt;0.0001,"sim","não — ajuste o mix na aba Premissas")</f>
        <v>sim</v>
      </c>
      <c r="C5" s="14"/>
      <c r="D5" s="9" t="s">
        <v>164</v>
      </c>
      <c r="F5" s="24" t="s">
        <v>165</v>
      </c>
      <c r="G5" s="25" t="n">
        <f aca="false">Premissas!$B$6</f>
        <v>80</v>
      </c>
      <c r="H5" s="26" t="n">
        <f aca="false">Premissas!$B$13</f>
        <v>3</v>
      </c>
      <c r="I5" s="27" t="str">
        <f aca="false">IF(ISNUMBER(Premissas!$B$34),H5*Premissas!$B$34,"preencha o custo")</f>
        <v>preencha o custo</v>
      </c>
      <c r="J5" s="27" t="str">
        <f aca="false">IF(ISNUMBER(Premissas!$B$35),1*(Premissas!$B$35+N(Premissas!$B$36)),"preencha o custo")</f>
        <v>preencha o custo</v>
      </c>
      <c r="K5" s="27" t="n">
        <f aca="false">G5*(Premissas!$B$39+Premissas!$B$42)+1*Premissas!$B$40</f>
        <v>2.62</v>
      </c>
      <c r="L5" s="28" t="str">
        <f aca="false">IF(AND(ISNUMBER(I5),ISNUMBER(J5)),G5-I5-J5-K5,"preencha o custo")</f>
        <v>preencha o custo</v>
      </c>
      <c r="M5" s="29" t="str">
        <f aca="false">IF(ISNUMBER(L5),IF(G5&gt;0,L5/G5,0),"preencha o custo")</f>
        <v>preencha o custo</v>
      </c>
    </row>
    <row r="6" customFormat="false" ht="15" hidden="false" customHeight="false" outlineLevel="0" collapsed="false">
      <c r="A6" s="4" t="s">
        <v>166</v>
      </c>
      <c r="B6" s="5"/>
      <c r="C6" s="5"/>
      <c r="D6" s="5"/>
      <c r="F6" s="24" t="s">
        <v>167</v>
      </c>
      <c r="G6" s="25" t="n">
        <f aca="false">Premissas!$B$7</f>
        <v>140</v>
      </c>
      <c r="H6" s="26" t="n">
        <f aca="false">Premissas!$B$14</f>
        <v>6</v>
      </c>
      <c r="I6" s="27" t="str">
        <f aca="false">IF(ISNUMBER(Premissas!$B$34),H6*Premissas!$B$34,"preencha o custo")</f>
        <v>preencha o custo</v>
      </c>
      <c r="J6" s="27" t="str">
        <f aca="false">IF(ISNUMBER(Premissas!$B$35),1*(Premissas!$B$35+N(Premissas!$B$36)),"preencha o custo")</f>
        <v>preencha o custo</v>
      </c>
      <c r="K6" s="27" t="n">
        <f aca="false">G6*(Premissas!$B$39+Premissas!$B$42+Premissas!$B$41)+1*Premissas!$B$40</f>
        <v>5.34</v>
      </c>
      <c r="L6" s="28" t="str">
        <f aca="false">IF(AND(ISNUMBER(I6),ISNUMBER(J6)),G6-I6-J6-K6,"preencha o custo")</f>
        <v>preencha o custo</v>
      </c>
      <c r="M6" s="29" t="str">
        <f aca="false">IF(ISNUMBER(L6),IF(G6&gt;0,L6/G6,0),"preencha o custo")</f>
        <v>preencha o custo</v>
      </c>
    </row>
    <row r="7" customFormat="false" ht="15" hidden="false" customHeight="false" outlineLevel="0" collapsed="false">
      <c r="A7" s="6" t="s">
        <v>168</v>
      </c>
      <c r="B7" s="31" t="n">
        <f aca="false">Premissas!$B$23*Premissas!$B$5+Premissas!$B$24*Premissas!$B$6+Premissas!$B$25*Premissas!$B$7</f>
        <v>84.98</v>
      </c>
      <c r="C7" s="14" t="s">
        <v>169</v>
      </c>
      <c r="D7" s="9" t="s">
        <v>170</v>
      </c>
      <c r="F7" s="24" t="s">
        <v>171</v>
      </c>
      <c r="G7" s="25" t="n">
        <f aca="false">Premissas!$B$8</f>
        <v>19.9</v>
      </c>
      <c r="H7" s="26" t="n">
        <f aca="false">Premissas!$B$15</f>
        <v>1</v>
      </c>
      <c r="I7" s="27" t="str">
        <f aca="false">IF(ISNUMBER(Premissas!$B$34),H7*Premissas!$B$34,"preencha o custo")</f>
        <v>preencha o custo</v>
      </c>
      <c r="J7" s="27" t="str">
        <f aca="false">IF(ISNUMBER(Premissas!$B$35),0*(Premissas!$B$35+N(Premissas!$B$36)),"preencha o custo")</f>
        <v>preencha o custo</v>
      </c>
      <c r="K7" s="27" t="n">
        <f aca="false">G7*(Premissas!$B$39+Premissas!$B$42)+0*Premissas!$B$40</f>
        <v>0.5771</v>
      </c>
      <c r="L7" s="28" t="str">
        <f aca="false">IF(AND(ISNUMBER(I7),ISNUMBER(J7)),G7-I7-J7-K7,"preencha o custo")</f>
        <v>preencha o custo</v>
      </c>
      <c r="M7" s="29" t="str">
        <f aca="false">IF(ISNUMBER(L7),IF(G7&gt;0,L7/G7,0),"preencha o custo")</f>
        <v>preencha o custo</v>
      </c>
    </row>
    <row r="8" customFormat="false" ht="15" hidden="false" customHeight="false" outlineLevel="0" collapsed="false">
      <c r="A8" s="6" t="s">
        <v>172</v>
      </c>
      <c r="B8" s="31" t="n">
        <f aca="false">Premissas!$B$27*Premissas!$B$8</f>
        <v>4.975</v>
      </c>
      <c r="C8" s="14" t="s">
        <v>169</v>
      </c>
      <c r="D8" s="9" t="s">
        <v>173</v>
      </c>
      <c r="F8" s="24" t="s">
        <v>174</v>
      </c>
      <c r="G8" s="25" t="n">
        <f aca="false">Premissas!$B$9</f>
        <v>77</v>
      </c>
      <c r="H8" s="26" t="n">
        <f aca="false">Premissas!$B$16</f>
        <v>6</v>
      </c>
      <c r="I8" s="27" t="str">
        <f aca="false">IF(ISNUMBER(Premissas!$B$34),H8*Premissas!$B$34,"preencha o custo")</f>
        <v>preencha o custo</v>
      </c>
      <c r="J8" s="27" t="str">
        <f aca="false">IF(ISNUMBER(Premissas!$B$35),Premissas!$B$37*(Premissas!$B$35+N(Premissas!$B$36)),"preencha o custo")</f>
        <v>preencha o custo</v>
      </c>
      <c r="K8" s="27" t="n">
        <f aca="false">G8*(Premissas!$B$39+Premissas!$B$42)+1*Premissas!$B$40</f>
        <v>2.533</v>
      </c>
      <c r="L8" s="28" t="str">
        <f aca="false">IF(AND(ISNUMBER(I8),ISNUMBER(J8)),G8-I8-J8-K8,"preencha o custo")</f>
        <v>preencha o custo</v>
      </c>
      <c r="M8" s="29" t="str">
        <f aca="false">IF(ISNUMBER(L8),IF(G8&gt;0,L8/G8,0),"preencha o custo")</f>
        <v>preencha o custo</v>
      </c>
    </row>
    <row r="9" customFormat="false" ht="15" hidden="false" customHeight="false" outlineLevel="0" collapsed="false">
      <c r="A9" s="6" t="s">
        <v>175</v>
      </c>
      <c r="B9" s="31" t="n">
        <f aca="false">$B$7+$B$8</f>
        <v>89.955</v>
      </c>
      <c r="C9" s="14" t="s">
        <v>169</v>
      </c>
      <c r="D9" s="9" t="s">
        <v>176</v>
      </c>
      <c r="F9" s="24" t="s">
        <v>177</v>
      </c>
      <c r="G9" s="25" t="n">
        <f aca="false">Premissas!$B$10</f>
        <v>56</v>
      </c>
      <c r="H9" s="26" t="n">
        <f aca="false">Premissas!$B$17</f>
        <v>3</v>
      </c>
      <c r="I9" s="27" t="str">
        <f aca="false">IF(ISNUMBER(Premissas!$B$34),H9*Premissas!$B$34,"preencha o custo")</f>
        <v>preencha o custo</v>
      </c>
      <c r="J9" s="27" t="str">
        <f aca="false">IF(ISNUMBER(Premissas!$B$35),1*(Premissas!$B$35+N(Premissas!$B$36)),"preencha o custo")</f>
        <v>preencha o custo</v>
      </c>
      <c r="K9" s="27" t="n">
        <f aca="false">G9*(Premissas!$B$39+Premissas!$B$42+Premissas!$B$41)+1*Premissas!$B$40</f>
        <v>2.316</v>
      </c>
      <c r="L9" s="28" t="str">
        <f aca="false">IF(AND(ISNUMBER(I9),ISNUMBER(J9)),G9-I9-J9-K9,"preencha o custo")</f>
        <v>preencha o custo</v>
      </c>
      <c r="M9" s="29" t="str">
        <f aca="false">IF(ISNUMBER(L9),IF(G9&gt;0,L9/G9,0),"preencha o custo")</f>
        <v>preencha o custo</v>
      </c>
    </row>
    <row r="10" customFormat="false" ht="15" hidden="false" customHeight="true" outlineLevel="0" collapsed="false">
      <c r="A10" s="6" t="s">
        <v>178</v>
      </c>
      <c r="B10" s="31" t="n">
        <f aca="false">Premissas!$B$21*Premissas!$B$19*($B$7+Premissas!$B$20*$B$8)</f>
        <v>3.5982</v>
      </c>
      <c r="C10" s="14" t="s">
        <v>169</v>
      </c>
      <c r="D10" s="9" t="s">
        <v>179</v>
      </c>
      <c r="F10" s="2" t="s">
        <v>180</v>
      </c>
      <c r="G10" s="2"/>
      <c r="H10" s="2"/>
      <c r="I10" s="2"/>
      <c r="J10" s="2"/>
      <c r="K10" s="2"/>
      <c r="L10" s="2"/>
      <c r="M10" s="2"/>
    </row>
    <row r="11" customFormat="false" ht="28.5" hidden="false" customHeight="true" outlineLevel="0" collapsed="false">
      <c r="A11" s="20" t="s">
        <v>181</v>
      </c>
      <c r="B11" s="32" t="n">
        <f aca="false">$B$9-$B$10</f>
        <v>86.3568</v>
      </c>
      <c r="C11" s="22" t="s">
        <v>9</v>
      </c>
      <c r="D11" s="23" t="s">
        <v>182</v>
      </c>
      <c r="F11" s="2"/>
      <c r="G11" s="2"/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6" t="s">
        <v>183</v>
      </c>
      <c r="B12" s="33" t="n">
        <f aca="false">Premissas!$B$23+Premissas!$B$24</f>
        <v>0.75</v>
      </c>
      <c r="C12" s="14" t="s">
        <v>184</v>
      </c>
      <c r="D12" s="9" t="s">
        <v>185</v>
      </c>
    </row>
    <row r="13" customFormat="false" ht="15" hidden="false" customHeight="false" outlineLevel="0" collapsed="false">
      <c r="A13" s="6" t="s">
        <v>186</v>
      </c>
      <c r="B13" s="31" t="n">
        <f aca="false">$B$12*Premissas!$B$28*Premissas!$B$9</f>
        <v>8.6625</v>
      </c>
      <c r="C13" s="14" t="s">
        <v>169</v>
      </c>
      <c r="D13" s="9" t="s">
        <v>187</v>
      </c>
    </row>
    <row r="14" customFormat="false" ht="15" hidden="false" customHeight="false" outlineLevel="0" collapsed="false">
      <c r="A14" s="6" t="s">
        <v>188</v>
      </c>
      <c r="B14" s="31" t="n">
        <f aca="false">$B$12*Premissas!$B$29*Premissas!$B$10</f>
        <v>4.2</v>
      </c>
      <c r="C14" s="14" t="s">
        <v>169</v>
      </c>
      <c r="D14" s="9" t="s">
        <v>189</v>
      </c>
    </row>
    <row r="15" customFormat="false" ht="15" hidden="false" customHeight="false" outlineLevel="0" collapsed="false">
      <c r="A15" s="20" t="s">
        <v>190</v>
      </c>
      <c r="B15" s="32" t="n">
        <f aca="false">$B$11+$B$13+$B$14</f>
        <v>99.2193</v>
      </c>
      <c r="C15" s="22" t="s">
        <v>169</v>
      </c>
      <c r="D15" s="23" t="s">
        <v>191</v>
      </c>
    </row>
    <row r="16" customFormat="false" ht="15" hidden="false" customHeight="false" outlineLevel="0" collapsed="false">
      <c r="A16" s="6" t="s">
        <v>192</v>
      </c>
      <c r="B16" s="31" t="n">
        <f aca="false">Premissas!$B$45*$B$15</f>
        <v>4.960965</v>
      </c>
      <c r="C16" s="14" t="s">
        <v>169</v>
      </c>
      <c r="D16" s="9" t="s">
        <v>193</v>
      </c>
    </row>
    <row r="17" customFormat="false" ht="15" hidden="false" customHeight="false" outlineLevel="0" collapsed="false">
      <c r="A17" s="6" t="s">
        <v>194</v>
      </c>
      <c r="B17" s="31" t="n">
        <f aca="false">Premissas!$B$46*$B$11</f>
        <v>0.431784</v>
      </c>
      <c r="C17" s="14" t="s">
        <v>169</v>
      </c>
      <c r="D17" s="9" t="s">
        <v>195</v>
      </c>
    </row>
    <row r="18" customFormat="false" ht="15" hidden="false" customHeight="false" outlineLevel="0" collapsed="false">
      <c r="A18" s="20" t="s">
        <v>196</v>
      </c>
      <c r="B18" s="32" t="n">
        <f aca="false">$B$15-$B$16-$B$17</f>
        <v>93.826551</v>
      </c>
      <c r="C18" s="22" t="s">
        <v>169</v>
      </c>
      <c r="D18" s="23" t="s">
        <v>197</v>
      </c>
    </row>
    <row r="19" customFormat="false" ht="15" hidden="false" customHeight="false" outlineLevel="0" collapsed="false">
      <c r="A19" s="4" t="s">
        <v>198</v>
      </c>
      <c r="B19" s="5"/>
      <c r="C19" s="5"/>
      <c r="D19" s="5"/>
    </row>
    <row r="20" customFormat="false" ht="15" hidden="false" customHeight="false" outlineLevel="0" collapsed="false">
      <c r="A20" s="6" t="s">
        <v>199</v>
      </c>
      <c r="B20" s="34" t="n">
        <f aca="false">Premissas!$B$23*Premissas!$B$12+Premissas!$B$24*Premissas!$B$13+Premissas!$B$25*Premissas!$B$14+Premissas!$B$27*Premissas!$B$15+$B$12*Premissas!$B$28*Premissas!$B$16+$B$12*Premissas!$B$29*Premissas!$B$17</f>
        <v>4.5</v>
      </c>
      <c r="C20" s="14" t="s">
        <v>26</v>
      </c>
      <c r="D20" s="9" t="s">
        <v>200</v>
      </c>
    </row>
    <row r="21" customFormat="false" ht="15" hidden="false" customHeight="false" outlineLevel="0" collapsed="false">
      <c r="A21" s="6" t="s">
        <v>201</v>
      </c>
      <c r="B21" s="34" t="n">
        <f aca="false">1+$B$12*Premissas!$B$28*Premissas!$B$37+$B$12*Premissas!$B$29</f>
        <v>1.1875</v>
      </c>
      <c r="C21" s="14" t="s">
        <v>202</v>
      </c>
      <c r="D21" s="9" t="s">
        <v>203</v>
      </c>
    </row>
    <row r="22" customFormat="false" ht="15" hidden="false" customHeight="false" outlineLevel="0" collapsed="false">
      <c r="A22" s="6" t="s">
        <v>204</v>
      </c>
      <c r="B22" s="34" t="n">
        <f aca="false">1+$B$12*Premissas!$B$28+$B$12*Premissas!$B$29</f>
        <v>1.1875</v>
      </c>
      <c r="C22" s="14" t="s">
        <v>68</v>
      </c>
      <c r="D22" s="9" t="s">
        <v>205</v>
      </c>
    </row>
    <row r="23" customFormat="false" ht="28.5" hidden="false" customHeight="true" outlineLevel="0" collapsed="false">
      <c r="A23" s="6" t="s">
        <v>206</v>
      </c>
      <c r="B23" s="31" t="n">
        <f aca="false">Premissas!$B$25*Premissas!$B$7*(1-Premissas!$B$21*Premissas!$B$19)+$B$14</f>
        <v>37.8</v>
      </c>
      <c r="C23" s="14" t="s">
        <v>169</v>
      </c>
      <c r="D23" s="9" t="s">
        <v>207</v>
      </c>
    </row>
    <row r="24" customFormat="false" ht="15" hidden="false" customHeight="false" outlineLevel="0" collapsed="false">
      <c r="A24" s="6" t="s">
        <v>208</v>
      </c>
      <c r="B24" s="31" t="str">
        <f aca="false">IF(ISNUMBER(Premissas!$B$34),$B$20*Premissas!$B$34,"preencha o custo")</f>
        <v>preencha o custo</v>
      </c>
      <c r="C24" s="14" t="s">
        <v>169</v>
      </c>
      <c r="D24" s="9" t="s">
        <v>209</v>
      </c>
    </row>
    <row r="25" customFormat="false" ht="15" hidden="false" customHeight="false" outlineLevel="0" collapsed="false">
      <c r="A25" s="6" t="s">
        <v>156</v>
      </c>
      <c r="B25" s="31" t="str">
        <f aca="false">IF(ISNUMBER(Premissas!$B$35),$B$21*(Premissas!$B$35+N(Premissas!$B$36)),"preencha o custo")</f>
        <v>preencha o custo</v>
      </c>
      <c r="C25" s="14" t="s">
        <v>169</v>
      </c>
      <c r="D25" s="9" t="s">
        <v>210</v>
      </c>
    </row>
    <row r="26" customFormat="false" ht="28.5" hidden="false" customHeight="true" outlineLevel="0" collapsed="false">
      <c r="A26" s="6" t="s">
        <v>211</v>
      </c>
      <c r="B26" s="31" t="n">
        <f aca="false">$B$15*(Premissas!$B$39+Premissas!$B$42)+$B$22*Premissas!$B$40</f>
        <v>3.2336097</v>
      </c>
      <c r="C26" s="14" t="s">
        <v>169</v>
      </c>
      <c r="D26" s="9" t="s">
        <v>212</v>
      </c>
    </row>
    <row r="27" customFormat="false" ht="15" hidden="false" customHeight="false" outlineLevel="0" collapsed="false">
      <c r="A27" s="6" t="s">
        <v>213</v>
      </c>
      <c r="B27" s="31" t="n">
        <f aca="false">$B$23*Premissas!$B$41</f>
        <v>0.2646</v>
      </c>
      <c r="C27" s="14" t="s">
        <v>169</v>
      </c>
      <c r="D27" s="9" t="s">
        <v>214</v>
      </c>
    </row>
    <row r="28" customFormat="false" ht="15" hidden="false" customHeight="false" outlineLevel="0" collapsed="false">
      <c r="A28" s="6" t="s">
        <v>215</v>
      </c>
      <c r="B28" s="31" t="n">
        <f aca="false">Premissas!$B$46*Premissas!$B$43</f>
        <v>0.075</v>
      </c>
      <c r="C28" s="14" t="s">
        <v>169</v>
      </c>
      <c r="D28" s="9" t="s">
        <v>216</v>
      </c>
    </row>
    <row r="29" customFormat="false" ht="15" hidden="false" customHeight="false" outlineLevel="0" collapsed="false">
      <c r="A29" s="20" t="s">
        <v>217</v>
      </c>
      <c r="B29" s="32" t="str">
        <f aca="false">IF($B$4&lt;&gt;"sim","preencha o custo",$B$24+$B$25+$B$26+$B$27+$B$28)</f>
        <v>preencha o custo</v>
      </c>
      <c r="C29" s="22" t="s">
        <v>169</v>
      </c>
      <c r="D29" s="23" t="s">
        <v>218</v>
      </c>
    </row>
    <row r="30" customFormat="false" ht="15" hidden="false" customHeight="false" outlineLevel="0" collapsed="false">
      <c r="A30" s="4" t="s">
        <v>219</v>
      </c>
      <c r="B30" s="5"/>
      <c r="C30" s="5"/>
      <c r="D30" s="5"/>
    </row>
    <row r="31" customFormat="false" ht="15" hidden="false" customHeight="false" outlineLevel="0" collapsed="false">
      <c r="A31" s="20" t="s">
        <v>220</v>
      </c>
      <c r="B31" s="32" t="str">
        <f aca="false">IF($B$4&lt;&gt;"sim","preencha o custo",$B$18-$B$29)</f>
        <v>preencha o custo</v>
      </c>
      <c r="C31" s="22" t="s">
        <v>169</v>
      </c>
      <c r="D31" s="23" t="s">
        <v>221</v>
      </c>
    </row>
    <row r="32" customFormat="false" ht="15" hidden="false" customHeight="false" outlineLevel="0" collapsed="false">
      <c r="A32" s="6" t="s">
        <v>222</v>
      </c>
      <c r="B32" s="33" t="str">
        <f aca="false">IF($B$4&lt;&gt;"sim","preencha o custo",IF($B$18&gt;0,$B$31/$B$18,0))</f>
        <v>preencha o custo</v>
      </c>
      <c r="C32" s="14" t="s">
        <v>223</v>
      </c>
      <c r="D32" s="9" t="s">
        <v>224</v>
      </c>
    </row>
    <row r="33" customFormat="false" ht="15" hidden="false" customHeight="false" outlineLevel="0" collapsed="false">
      <c r="A33" s="20" t="s">
        <v>225</v>
      </c>
      <c r="B33" s="32" t="str">
        <f aca="false">IF($B$4&lt;&gt;"sim","preencha o custo",$B$31)</f>
        <v>preencha o custo</v>
      </c>
      <c r="C33" s="22" t="s">
        <v>226</v>
      </c>
      <c r="D33" s="23" t="s">
        <v>227</v>
      </c>
    </row>
    <row r="34" customFormat="false" ht="28.5" hidden="false" customHeight="true" outlineLevel="0" collapsed="false">
      <c r="A34" s="20" t="s">
        <v>228</v>
      </c>
      <c r="B34" s="32" t="str">
        <f aca="false">IF($B$4&lt;&gt;"sim","preencha o custo",$B$31-Premissas!$B$48*$B$18)</f>
        <v>preencha o custo</v>
      </c>
      <c r="C34" s="22" t="s">
        <v>226</v>
      </c>
      <c r="D34" s="23" t="s">
        <v>229</v>
      </c>
    </row>
    <row r="35" customFormat="false" ht="28.5" hidden="false" customHeight="true" outlineLevel="0" collapsed="false">
      <c r="A35" s="20" t="s">
        <v>230</v>
      </c>
      <c r="B35" s="35" t="str">
        <f aca="false">IF($B$4&lt;&gt;"sim","preencha o custo",IF($B$33&gt;0,$B$15/$B$33,"sem margem (CPA ≤ 0)"))</f>
        <v>preencha o custo</v>
      </c>
      <c r="C35" s="22" t="s">
        <v>231</v>
      </c>
      <c r="D35" s="23" t="s">
        <v>232</v>
      </c>
    </row>
    <row r="36" customFormat="false" ht="28.5" hidden="false" customHeight="true" outlineLevel="0" collapsed="false">
      <c r="A36" s="6" t="s">
        <v>233</v>
      </c>
      <c r="B36" s="36" t="str">
        <f aca="false">IF($B$4&lt;&gt;"sim","preencha o custo",IF($B$33&gt;0,$B$11/$B$33,"sem margem (CPA ≤ 0)"))</f>
        <v>preencha o custo</v>
      </c>
      <c r="C36" s="14" t="s">
        <v>231</v>
      </c>
      <c r="D36" s="9" t="s">
        <v>234</v>
      </c>
    </row>
    <row r="37" customFormat="false" ht="15" hidden="false" customHeight="false" outlineLevel="0" collapsed="false">
      <c r="A37" s="6" t="s">
        <v>235</v>
      </c>
      <c r="B37" s="36" t="str">
        <f aca="false">IF($B$4&lt;&gt;"sim","preencha o custo",IF($B$34&gt;0,$B$15/$B$34,"sem margem (CPA ≤ 0)"))</f>
        <v>preencha o custo</v>
      </c>
      <c r="C37" s="14" t="s">
        <v>231</v>
      </c>
      <c r="D37" s="9" t="s">
        <v>236</v>
      </c>
    </row>
    <row r="38" customFormat="false" ht="15" hidden="false" customHeight="false" outlineLevel="0" collapsed="false">
      <c r="A38" s="6" t="s">
        <v>237</v>
      </c>
      <c r="B38" s="36" t="str">
        <f aca="false">IF($B$4&lt;&gt;"sim","preencha o custo",IF($B$34&gt;0,$B$11/$B$34,"sem margem (CPA ≤ 0)"))</f>
        <v>preencha o custo</v>
      </c>
      <c r="C38" s="14" t="s">
        <v>231</v>
      </c>
      <c r="D38" s="9" t="s">
        <v>238</v>
      </c>
    </row>
    <row r="39" customFormat="false" ht="15" hidden="false" customHeight="false" outlineLevel="0" collapsed="false">
      <c r="A39" s="4" t="s">
        <v>239</v>
      </c>
      <c r="B39" s="5"/>
      <c r="C39" s="5"/>
      <c r="D39" s="5"/>
    </row>
    <row r="40" customFormat="false" ht="15" hidden="false" customHeight="false" outlineLevel="0" collapsed="false">
      <c r="A40" s="6" t="s">
        <v>240</v>
      </c>
      <c r="B40" s="34" t="n">
        <f aca="false">Premissas!$B$25*MAX(Premissas!$B$31-1,0)</f>
        <v>0</v>
      </c>
      <c r="C40" s="14" t="s">
        <v>68</v>
      </c>
      <c r="D40" s="9" t="s">
        <v>241</v>
      </c>
    </row>
    <row r="41" customFormat="false" ht="15" hidden="false" customHeight="false" outlineLevel="0" collapsed="false">
      <c r="A41" s="6" t="s">
        <v>242</v>
      </c>
      <c r="B41" s="34" t="n">
        <f aca="false">$B$12*Premissas!$B$29*MAX(Premissas!$B$32-1,0)</f>
        <v>0</v>
      </c>
      <c r="C41" s="14" t="s">
        <v>68</v>
      </c>
      <c r="D41" s="9" t="s">
        <v>243</v>
      </c>
    </row>
    <row r="42" customFormat="false" ht="15" hidden="false" customHeight="false" outlineLevel="0" collapsed="false">
      <c r="A42" s="6" t="s">
        <v>244</v>
      </c>
      <c r="B42" s="31" t="str">
        <f aca="false">IF($B$4&lt;&gt;"sim","preencha o custo",Premissas!$B$7*(1-Premissas!$B$39-Premissas!$B$42-Premissas!$B$41)-Premissas!$B$40-Premissas!$B$14*Premissas!$B$34-(Premissas!$B$35+N(Premissas!$B$36)))</f>
        <v>preencha o custo</v>
      </c>
      <c r="C42" s="14" t="s">
        <v>89</v>
      </c>
      <c r="D42" s="9" t="s">
        <v>245</v>
      </c>
    </row>
    <row r="43" customFormat="false" ht="15" hidden="false" customHeight="false" outlineLevel="0" collapsed="false">
      <c r="A43" s="6" t="s">
        <v>246</v>
      </c>
      <c r="B43" s="31" t="str">
        <f aca="false">IF($B$4&lt;&gt;"sim","preencha o custo",Premissas!$B$10*(1-Premissas!$B$39-Premissas!$B$42-Premissas!$B$41)-Premissas!$B$40-Premissas!$B$17*Premissas!$B$34-(Premissas!$B$35+N(Premissas!$B$36)))</f>
        <v>preencha o custo</v>
      </c>
      <c r="C43" s="14" t="s">
        <v>89</v>
      </c>
      <c r="D43" s="9" t="s">
        <v>247</v>
      </c>
    </row>
    <row r="44" customFormat="false" ht="15" hidden="false" customHeight="false" outlineLevel="0" collapsed="false">
      <c r="A44" s="6" t="s">
        <v>248</v>
      </c>
      <c r="B44" s="31" t="n">
        <f aca="false">$B$40*Premissas!$B$7+$B$41*Premissas!$B$10</f>
        <v>0</v>
      </c>
      <c r="C44" s="14" t="s">
        <v>169</v>
      </c>
      <c r="D44" s="9" t="s">
        <v>249</v>
      </c>
    </row>
    <row r="45" customFormat="false" ht="15" hidden="false" customHeight="false" outlineLevel="0" collapsed="false">
      <c r="A45" s="6" t="s">
        <v>250</v>
      </c>
      <c r="B45" s="31" t="str">
        <f aca="false">IF($B$4&lt;&gt;"sim","preencha o custo",$B$40*$B$42+$B$41*$B$43)</f>
        <v>preencha o custo</v>
      </c>
      <c r="C45" s="14" t="s">
        <v>169</v>
      </c>
      <c r="D45" s="9" t="s">
        <v>251</v>
      </c>
    </row>
    <row r="46" customFormat="false" ht="15" hidden="false" customHeight="false" outlineLevel="0" collapsed="false">
      <c r="A46" s="20" t="s">
        <v>252</v>
      </c>
      <c r="B46" s="32" t="n">
        <f aca="false">$B$15+$B$44</f>
        <v>99.2193</v>
      </c>
      <c r="C46" s="22" t="s">
        <v>169</v>
      </c>
      <c r="D46" s="23" t="s">
        <v>253</v>
      </c>
    </row>
    <row r="47" customFormat="false" ht="15" hidden="false" customHeight="false" outlineLevel="0" collapsed="false">
      <c r="A47" s="20" t="s">
        <v>254</v>
      </c>
      <c r="B47" s="32" t="str">
        <f aca="false">IF($B$4&lt;&gt;"sim","preencha o custo",$B$31+$B$45)</f>
        <v>preencha o custo</v>
      </c>
      <c r="C47" s="22" t="s">
        <v>169</v>
      </c>
      <c r="D47" s="23" t="s">
        <v>255</v>
      </c>
    </row>
    <row r="48" customFormat="false" ht="28.5" hidden="false" customHeight="true" outlineLevel="0" collapsed="false">
      <c r="A48" s="6" t="s">
        <v>256</v>
      </c>
      <c r="B48" s="31" t="str">
        <f aca="false">IF($B$4&lt;&gt;"sim","preencha o custo",$B$47)</f>
        <v>preencha o custo</v>
      </c>
      <c r="C48" s="14" t="s">
        <v>226</v>
      </c>
      <c r="D48" s="9" t="s">
        <v>257</v>
      </c>
    </row>
    <row r="49" customFormat="false" ht="15" hidden="false" customHeight="false" outlineLevel="0" collapsed="false">
      <c r="A49" s="6" t="s">
        <v>258</v>
      </c>
      <c r="B49" s="31" t="str">
        <f aca="false">IF($B$4&lt;&gt;"sim","preencha o custo",$B$47-Premissas!$B$48*($B$18+$B$44))</f>
        <v>preencha o custo</v>
      </c>
      <c r="C49" s="14" t="s">
        <v>226</v>
      </c>
      <c r="D49" s="9" t="s">
        <v>259</v>
      </c>
    </row>
    <row r="50" customFormat="false" ht="15" hidden="false" customHeight="false" outlineLevel="0" collapsed="false">
      <c r="A50" s="6" t="s">
        <v>260</v>
      </c>
      <c r="B50" s="36" t="str">
        <f aca="false">IF($B$4&lt;&gt;"sim","preencha o custo",IF($B$48&gt;0,$B$46/$B$48,"sem margem (CPA ≤ 0)"))</f>
        <v>preencha o custo</v>
      </c>
      <c r="C50" s="14" t="s">
        <v>231</v>
      </c>
      <c r="D50" s="9" t="s">
        <v>261</v>
      </c>
    </row>
  </sheetData>
  <mergeCells count="2">
    <mergeCell ref="A2:D2"/>
    <mergeCell ref="F10:M11"/>
  </mergeCells>
  <conditionalFormatting sqref="B4:B50">
    <cfRule type="expression" priority="2" aboveAverage="0" equalAverage="0" bottom="0" percent="0" rank="0" text="" dxfId="0">
      <formula>ISNUMBER(SEARCH("preencha",B4))</formula>
    </cfRule>
  </conditionalFormatting>
  <conditionalFormatting sqref="I4:M9">
    <cfRule type="expression" priority="3" aboveAverage="0" equalAverage="0" bottom="0" percent="0" rank="0" text="" dxfId="0">
      <formula>ISNUMBER(SEARCH("preencha",I4))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262</v>
      </c>
    </row>
    <row r="2" customFormat="false" ht="27.75" hidden="false" customHeight="true" outlineLevel="0" collapsed="false">
      <c r="A2" s="2" t="s">
        <v>263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264</v>
      </c>
      <c r="B3" s="3" t="s">
        <v>265</v>
      </c>
      <c r="C3" s="3" t="s">
        <v>266</v>
      </c>
      <c r="D3" s="3" t="s">
        <v>267</v>
      </c>
      <c r="E3" s="3" t="s">
        <v>268</v>
      </c>
      <c r="F3" s="3" t="s">
        <v>269</v>
      </c>
      <c r="G3" s="3" t="s">
        <v>119</v>
      </c>
      <c r="H3" s="3" t="s">
        <v>270</v>
      </c>
    </row>
    <row r="4" customFormat="false" ht="28.5" hidden="false" customHeight="true" outlineLevel="0" collapsed="false">
      <c r="A4" s="37" t="s">
        <v>271</v>
      </c>
      <c r="B4" s="38" t="s">
        <v>272</v>
      </c>
      <c r="C4" s="38" t="s">
        <v>273</v>
      </c>
      <c r="D4" s="37" t="s">
        <v>274</v>
      </c>
      <c r="E4" s="39" t="s">
        <v>274</v>
      </c>
      <c r="F4" s="40" t="n">
        <f aca="false">Premissas!$B$50</f>
        <v>1000</v>
      </c>
      <c r="G4" s="41" t="n">
        <f aca="false">IF($F$4&gt;0,F4/$F$4,0)</f>
        <v>1</v>
      </c>
      <c r="H4" s="39" t="s">
        <v>275</v>
      </c>
    </row>
    <row r="5" customFormat="false" ht="22.35" hidden="false" customHeight="false" outlineLevel="0" collapsed="false">
      <c r="A5" s="37" t="s">
        <v>276</v>
      </c>
      <c r="B5" s="38" t="s">
        <v>277</v>
      </c>
      <c r="C5" s="38" t="s">
        <v>278</v>
      </c>
      <c r="D5" s="42" t="n">
        <f aca="false">Premissas!$B$52</f>
        <v>0.6</v>
      </c>
      <c r="E5" s="39" t="s">
        <v>279</v>
      </c>
      <c r="F5" s="43" t="n">
        <f aca="false">$F$4*D5</f>
        <v>600</v>
      </c>
      <c r="G5" s="41" t="n">
        <f aca="false">IF($F$4&gt;0,F5/$F$4,0)</f>
        <v>0.6</v>
      </c>
      <c r="H5" s="39" t="s">
        <v>280</v>
      </c>
    </row>
    <row r="6" customFormat="false" ht="28.5" hidden="false" customHeight="true" outlineLevel="0" collapsed="false">
      <c r="A6" s="37" t="s">
        <v>281</v>
      </c>
      <c r="B6" s="38" t="s">
        <v>282</v>
      </c>
      <c r="C6" s="38" t="s">
        <v>283</v>
      </c>
      <c r="D6" s="42" t="n">
        <f aca="false">Premissas!$B$53</f>
        <v>0.5</v>
      </c>
      <c r="E6" s="39" t="s">
        <v>284</v>
      </c>
      <c r="F6" s="43" t="n">
        <f aca="false">$F$5*D6</f>
        <v>300</v>
      </c>
      <c r="G6" s="41" t="n">
        <f aca="false">IF($F$4&gt;0,F6/$F$4,0)</f>
        <v>0.3</v>
      </c>
      <c r="H6" s="39" t="s">
        <v>285</v>
      </c>
    </row>
    <row r="7" customFormat="false" ht="15" hidden="false" customHeight="false" outlineLevel="0" collapsed="false">
      <c r="A7" s="37" t="s">
        <v>286</v>
      </c>
      <c r="B7" s="38" t="s">
        <v>287</v>
      </c>
      <c r="C7" s="38" t="s">
        <v>288</v>
      </c>
      <c r="D7" s="42" t="n">
        <f aca="false">Premissas!$B$54</f>
        <v>0.85</v>
      </c>
      <c r="E7" s="39" t="s">
        <v>289</v>
      </c>
      <c r="F7" s="43" t="n">
        <f aca="false">$F$6*D7</f>
        <v>255</v>
      </c>
      <c r="G7" s="41" t="n">
        <f aca="false">IF($F$4&gt;0,F7/$F$4,0)</f>
        <v>0.255</v>
      </c>
      <c r="H7" s="39" t="s">
        <v>290</v>
      </c>
    </row>
    <row r="8" customFormat="false" ht="22.35" hidden="false" customHeight="false" outlineLevel="0" collapsed="false">
      <c r="A8" s="37" t="s">
        <v>291</v>
      </c>
      <c r="B8" s="38" t="s">
        <v>292</v>
      </c>
      <c r="C8" s="38" t="s">
        <v>293</v>
      </c>
      <c r="D8" s="42" t="n">
        <f aca="false">Premissas!$B$55</f>
        <v>0.15</v>
      </c>
      <c r="E8" s="39" t="s">
        <v>294</v>
      </c>
      <c r="F8" s="43" t="n">
        <f aca="false">$F$7*D8</f>
        <v>38.25</v>
      </c>
      <c r="G8" s="41" t="n">
        <f aca="false">IF($F$4&gt;0,F8/$F$4,0)</f>
        <v>0.03825</v>
      </c>
      <c r="H8" s="39" t="s">
        <v>295</v>
      </c>
    </row>
    <row r="9" customFormat="false" ht="28.5" hidden="false" customHeight="true" outlineLevel="0" collapsed="false">
      <c r="A9" s="44" t="s">
        <v>296</v>
      </c>
      <c r="B9" s="38" t="s">
        <v>297</v>
      </c>
      <c r="C9" s="38" t="s">
        <v>298</v>
      </c>
      <c r="D9" s="42" t="n">
        <f aca="false">Premissas!$B$56</f>
        <v>0.4</v>
      </c>
      <c r="E9" s="39" t="s">
        <v>299</v>
      </c>
      <c r="F9" s="43" t="n">
        <f aca="false">$F$8*D9</f>
        <v>15.3</v>
      </c>
      <c r="G9" s="41" t="n">
        <f aca="false">IF($F$4&gt;0,F9/$F$4,0)</f>
        <v>0.0153</v>
      </c>
      <c r="H9" s="39" t="s">
        <v>300</v>
      </c>
    </row>
    <row r="10" customFormat="false" ht="15" hidden="false" customHeight="false" outlineLevel="0" collapsed="false">
      <c r="A10" s="37" t="s">
        <v>301</v>
      </c>
      <c r="B10" s="38" t="s">
        <v>302</v>
      </c>
      <c r="C10" s="38" t="s">
        <v>274</v>
      </c>
      <c r="D10" s="42" t="n">
        <f aca="false">Premissas!$B$27</f>
        <v>0.25</v>
      </c>
      <c r="E10" s="39" t="s">
        <v>303</v>
      </c>
      <c r="F10" s="43" t="n">
        <f aca="false">$F$9*D10</f>
        <v>3.825</v>
      </c>
      <c r="G10" s="41" t="n">
        <f aca="false">IF($F$4&gt;0,F10/$F$4,0)</f>
        <v>0.003825</v>
      </c>
      <c r="H10" s="39" t="s">
        <v>304</v>
      </c>
    </row>
    <row r="11" customFormat="false" ht="15" hidden="false" customHeight="false" outlineLevel="0" collapsed="false">
      <c r="A11" s="37" t="s">
        <v>183</v>
      </c>
      <c r="B11" s="38" t="s">
        <v>305</v>
      </c>
      <c r="C11" s="38" t="s">
        <v>274</v>
      </c>
      <c r="D11" s="42" t="n">
        <f aca="false">'Unit economics'!$B$12</f>
        <v>0.75</v>
      </c>
      <c r="E11" s="39" t="s">
        <v>306</v>
      </c>
      <c r="F11" s="43" t="n">
        <f aca="false">$F$9*D11</f>
        <v>11.475</v>
      </c>
      <c r="G11" s="41" t="n">
        <f aca="false">IF($F$4&gt;0,F11/$F$4,0)</f>
        <v>0.011475</v>
      </c>
      <c r="H11" s="39" t="s">
        <v>307</v>
      </c>
    </row>
    <row r="12" customFormat="false" ht="28.5" hidden="false" customHeight="true" outlineLevel="0" collapsed="false">
      <c r="A12" s="37" t="s">
        <v>308</v>
      </c>
      <c r="B12" s="38" t="s">
        <v>309</v>
      </c>
      <c r="C12" s="38" t="s">
        <v>310</v>
      </c>
      <c r="D12" s="42" t="n">
        <f aca="false">Premissas!$B$28</f>
        <v>0.15</v>
      </c>
      <c r="E12" s="39" t="s">
        <v>311</v>
      </c>
      <c r="F12" s="43" t="n">
        <f aca="false">$F$11*D12</f>
        <v>1.72125</v>
      </c>
      <c r="G12" s="41" t="n">
        <f aca="false">IF($F$4&gt;0,F12/$F$4,0)</f>
        <v>0.00172125</v>
      </c>
      <c r="H12" s="39" t="s">
        <v>312</v>
      </c>
    </row>
    <row r="13" customFormat="false" ht="22.35" hidden="false" customHeight="false" outlineLevel="0" collapsed="false">
      <c r="A13" s="37" t="s">
        <v>313</v>
      </c>
      <c r="B13" s="38" t="s">
        <v>314</v>
      </c>
      <c r="C13" s="38" t="s">
        <v>310</v>
      </c>
      <c r="D13" s="42" t="n">
        <f aca="false">Premissas!$B$29</f>
        <v>0.1</v>
      </c>
      <c r="E13" s="39" t="s">
        <v>311</v>
      </c>
      <c r="F13" s="43" t="n">
        <f aca="false">$F$11*D13</f>
        <v>1.1475</v>
      </c>
      <c r="G13" s="41" t="n">
        <f aca="false">IF($F$4&gt;0,F13/$F$4,0)</f>
        <v>0.0011475</v>
      </c>
      <c r="H13" s="39" t="s">
        <v>315</v>
      </c>
    </row>
    <row r="15" customFormat="false" ht="15" hidden="false" customHeight="false" outlineLevel="0" collapsed="false">
      <c r="A15" s="4" t="s">
        <v>316</v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45" t="s">
        <v>150</v>
      </c>
      <c r="B16" s="45" t="s">
        <v>3</v>
      </c>
      <c r="C16" s="46" t="s">
        <v>151</v>
      </c>
      <c r="D16" s="46"/>
      <c r="E16" s="46"/>
      <c r="F16" s="46"/>
      <c r="G16" s="46"/>
      <c r="H16" s="46"/>
    </row>
    <row r="17" customFormat="false" ht="15" hidden="false" customHeight="true" outlineLevel="0" collapsed="false">
      <c r="A17" s="14" t="s">
        <v>317</v>
      </c>
      <c r="B17" s="47" t="n">
        <f aca="false">IF($F$4&gt;0,$F$9/$F$4,0)</f>
        <v>0.0153</v>
      </c>
      <c r="C17" s="2" t="s">
        <v>318</v>
      </c>
      <c r="D17" s="2"/>
      <c r="E17" s="2"/>
      <c r="F17" s="2"/>
      <c r="G17" s="2"/>
      <c r="H17" s="2"/>
    </row>
    <row r="18" customFormat="false" ht="15" hidden="false" customHeight="true" outlineLevel="0" collapsed="false">
      <c r="A18" s="14" t="s">
        <v>190</v>
      </c>
      <c r="B18" s="48" t="n">
        <f aca="false">'Unit economics'!$B$15</f>
        <v>99.2193</v>
      </c>
      <c r="C18" s="2" t="s">
        <v>319</v>
      </c>
      <c r="D18" s="2"/>
      <c r="E18" s="2"/>
      <c r="F18" s="2"/>
      <c r="G18" s="2"/>
      <c r="H18" s="2"/>
    </row>
    <row r="19" customFormat="false" ht="15" hidden="false" customHeight="true" outlineLevel="0" collapsed="false">
      <c r="A19" s="14" t="s">
        <v>320</v>
      </c>
      <c r="B19" s="49" t="n">
        <f aca="false">$F$9*$B$18</f>
        <v>1518.05529</v>
      </c>
      <c r="C19" s="2" t="s">
        <v>321</v>
      </c>
      <c r="D19" s="2"/>
      <c r="E19" s="2"/>
      <c r="F19" s="2"/>
      <c r="G19" s="2"/>
      <c r="H19" s="2"/>
    </row>
    <row r="20" customFormat="false" ht="15" hidden="false" customHeight="true" outlineLevel="0" collapsed="false">
      <c r="A20" s="50" t="s">
        <v>322</v>
      </c>
      <c r="B20" s="51" t="n">
        <f aca="false">IF($F$4&gt;0,$B$19/$F$4,0)</f>
        <v>1.51805529</v>
      </c>
      <c r="C20" s="52" t="s">
        <v>323</v>
      </c>
      <c r="D20" s="52"/>
      <c r="E20" s="52"/>
      <c r="F20" s="52"/>
      <c r="G20" s="52"/>
      <c r="H20" s="52"/>
    </row>
    <row r="21" customFormat="false" ht="15" hidden="false" customHeight="true" outlineLevel="0" collapsed="false">
      <c r="A21" s="14" t="s">
        <v>324</v>
      </c>
      <c r="B21" s="48" t="str">
        <f aca="false">'Unit economics'!$B$31</f>
        <v>preencha o custo</v>
      </c>
      <c r="C21" s="2" t="s">
        <v>325</v>
      </c>
      <c r="D21" s="2"/>
      <c r="E21" s="2"/>
      <c r="F21" s="2"/>
      <c r="G21" s="2"/>
      <c r="H21" s="2"/>
    </row>
    <row r="22" customFormat="false" ht="15" hidden="false" customHeight="true" outlineLevel="0" collapsed="false">
      <c r="A22" s="14" t="s">
        <v>326</v>
      </c>
      <c r="B22" s="49" t="str">
        <f aca="false">IF(ISNUMBER($B$21),$F$9*$B$21,"preencha o custo")</f>
        <v>preencha o custo</v>
      </c>
      <c r="C22" s="2" t="s">
        <v>327</v>
      </c>
      <c r="D22" s="2"/>
      <c r="E22" s="2"/>
      <c r="F22" s="2"/>
      <c r="G22" s="2"/>
      <c r="H22" s="2"/>
    </row>
    <row r="23" customFormat="false" ht="15" hidden="false" customHeight="true" outlineLevel="0" collapsed="false">
      <c r="A23" s="14" t="s">
        <v>328</v>
      </c>
      <c r="B23" s="49" t="str">
        <f aca="false">IF(ISNUMBER($B$22),IF($F$4&gt;0,$B$22/$F$4,0),"preencha o custo")</f>
        <v>preencha o custo</v>
      </c>
      <c r="C23" s="2" t="s">
        <v>329</v>
      </c>
      <c r="D23" s="2"/>
      <c r="E23" s="2"/>
      <c r="F23" s="2"/>
      <c r="G23" s="2"/>
      <c r="H23" s="2"/>
    </row>
    <row r="24" customFormat="false" ht="15" hidden="false" customHeight="true" outlineLevel="0" collapsed="false">
      <c r="A24" s="50" t="s">
        <v>330</v>
      </c>
      <c r="B24" s="51" t="str">
        <f aca="false">IF(ISNUMBER($B$23),$B$23*Premissas!$B$51,"preencha o custo")</f>
        <v>preencha o custo</v>
      </c>
      <c r="C24" s="52" t="s">
        <v>331</v>
      </c>
      <c r="D24" s="52"/>
      <c r="E24" s="52"/>
      <c r="F24" s="52"/>
      <c r="G24" s="52"/>
      <c r="H24" s="52"/>
    </row>
    <row r="25" customFormat="false" ht="15" hidden="false" customHeight="true" outlineLevel="0" collapsed="false">
      <c r="A25" s="50" t="s">
        <v>332</v>
      </c>
      <c r="B25" s="51" t="str">
        <f aca="false">IF(ISNUMBER('Unit economics'!$B$34),IF($F$4&gt;0,$F$9*'Unit economics'!$B$34/$F$4*Premissas!$B$51,0),"preencha o custo")</f>
        <v>preencha o custo</v>
      </c>
      <c r="C25" s="52" t="s">
        <v>333</v>
      </c>
      <c r="D25" s="52"/>
      <c r="E25" s="52"/>
      <c r="F25" s="52"/>
      <c r="G25" s="52"/>
      <c r="H25" s="52"/>
    </row>
    <row r="26" customFormat="false" ht="15" hidden="false" customHeight="true" outlineLevel="0" collapsed="false">
      <c r="A26" s="14" t="s">
        <v>334</v>
      </c>
      <c r="B26" s="49" t="str">
        <f aca="false">IF(ISNUMBER($B$24),$B$24*Premissas!$B$58*1000,"preencha o custo")</f>
        <v>preencha o custo</v>
      </c>
      <c r="C26" s="2" t="s">
        <v>335</v>
      </c>
      <c r="D26" s="2"/>
      <c r="E26" s="2"/>
      <c r="F26" s="2"/>
      <c r="G26" s="2"/>
      <c r="H26" s="2"/>
    </row>
    <row r="27" customFormat="false" ht="15" hidden="false" customHeight="true" outlineLevel="0" collapsed="false">
      <c r="A27" s="50" t="s">
        <v>336</v>
      </c>
      <c r="B27" s="51" t="str">
        <f aca="false">IF(ISNUMBER($B$22),IF($F$6&gt;0,$B$22/$F$6,0),"preencha o custo")</f>
        <v>preencha o custo</v>
      </c>
      <c r="C27" s="52" t="s">
        <v>337</v>
      </c>
      <c r="D27" s="52"/>
      <c r="E27" s="52"/>
      <c r="F27" s="52"/>
      <c r="G27" s="52"/>
      <c r="H27" s="52"/>
    </row>
    <row r="28" customFormat="false" ht="15" hidden="false" customHeight="true" outlineLevel="0" collapsed="false">
      <c r="A28" s="50" t="s">
        <v>338</v>
      </c>
      <c r="B28" s="51" t="str">
        <f aca="false">IF(ISNUMBER('Unit economics'!$B$34),IF($F$6&gt;0,$F$9*'Unit economics'!$B$34/$F$6,0),"preencha o custo")</f>
        <v>preencha o custo</v>
      </c>
      <c r="C28" s="52" t="s">
        <v>339</v>
      </c>
      <c r="D28" s="52"/>
      <c r="E28" s="52"/>
      <c r="F28" s="52"/>
      <c r="G28" s="52"/>
      <c r="H28" s="52"/>
    </row>
    <row r="29" customFormat="false" ht="15" hidden="false" customHeight="true" outlineLevel="0" collapsed="false">
      <c r="A29" s="14" t="s">
        <v>340</v>
      </c>
      <c r="B29" s="48" t="str">
        <f aca="false">'Unit economics'!$B$33</f>
        <v>preencha o custo</v>
      </c>
      <c r="C29" s="2" t="s">
        <v>341</v>
      </c>
      <c r="D29" s="2"/>
      <c r="E29" s="2"/>
      <c r="F29" s="2"/>
      <c r="G29" s="2"/>
      <c r="H29" s="2"/>
    </row>
    <row r="30" customFormat="false" ht="15" hidden="false" customHeight="true" outlineLevel="0" collapsed="false">
      <c r="A30" s="14" t="s">
        <v>342</v>
      </c>
      <c r="B30" s="49" t="str">
        <f aca="false">IF(ISNUMBER('Unit economics'!$B$47),IF($F$4&gt;0,$F$9*'Unit economics'!$B$47/$F$4*Premissas!$B$51,0),"preencha o custo")</f>
        <v>preencha o custo</v>
      </c>
      <c r="C30" s="2" t="s">
        <v>343</v>
      </c>
      <c r="D30" s="2"/>
      <c r="E30" s="2"/>
      <c r="F30" s="2"/>
      <c r="G30" s="2"/>
      <c r="H30" s="2"/>
    </row>
  </sheetData>
  <mergeCells count="16">
    <mergeCell ref="A2:H2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</mergeCells>
  <conditionalFormatting sqref="B17:B30">
    <cfRule type="expression" priority="2" aboveAverage="0" equalAverage="0" bottom="0" percent="0" rank="0" text="" dxfId="0">
      <formula>ISNUMBER(SEARCH("preencha",B17))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52"/>
    <col collapsed="false" customWidth="true" hidden="false" outlineLevel="0" max="5" min="5" style="0" width="34"/>
    <col collapsed="false" customWidth="true" hidden="false" outlineLevel="0" max="8" min="6" style="0" width="13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1" t="s">
        <v>344</v>
      </c>
    </row>
    <row r="2" customFormat="false" ht="27.75" hidden="false" customHeight="true" outlineLevel="0" collapsed="false">
      <c r="A2" s="2" t="s">
        <v>345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3" t="s">
        <v>346</v>
      </c>
      <c r="B3" s="3" t="s">
        <v>347</v>
      </c>
      <c r="C3" s="3" t="s">
        <v>348</v>
      </c>
      <c r="D3" s="3" t="s">
        <v>349</v>
      </c>
      <c r="E3" s="3" t="s">
        <v>350</v>
      </c>
      <c r="F3" s="3" t="s">
        <v>351</v>
      </c>
      <c r="G3" s="3" t="s">
        <v>352</v>
      </c>
      <c r="H3" s="3" t="s">
        <v>353</v>
      </c>
      <c r="I3" s="3" t="s">
        <v>354</v>
      </c>
      <c r="J3" s="3" t="s">
        <v>355</v>
      </c>
      <c r="K3" s="3" t="s">
        <v>356</v>
      </c>
      <c r="L3" s="3" t="s">
        <v>357</v>
      </c>
    </row>
    <row r="4" customFormat="false" ht="15" hidden="false" customHeight="false" outlineLevel="0" collapsed="false">
      <c r="A4" s="4" t="s">
        <v>358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customFormat="false" ht="28.5" hidden="false" customHeight="true" outlineLevel="0" collapsed="false">
      <c r="A5" s="37" t="n">
        <v>1</v>
      </c>
      <c r="B5" s="44" t="s">
        <v>359</v>
      </c>
      <c r="C5" s="39" t="s">
        <v>360</v>
      </c>
      <c r="D5" s="39" t="s">
        <v>361</v>
      </c>
      <c r="E5" s="39" t="s">
        <v>362</v>
      </c>
      <c r="F5" s="37" t="s">
        <v>363</v>
      </c>
      <c r="G5" s="53" t="n">
        <f aca="false">Premissas!$B$58</f>
        <v>0.01</v>
      </c>
      <c r="H5" s="54" t="n">
        <f aca="false">G5*Premissas!$B$61</f>
        <v>0.008</v>
      </c>
      <c r="I5" s="37" t="s">
        <v>364</v>
      </c>
      <c r="J5" s="11"/>
      <c r="K5" s="55" t="str">
        <f aca="false">IF(J5="","—",IF(OR(NOT(ISNUMBER(G5)),NOT(ISNUMBER(H5))),"meta pendente: preencha o custo",IF(F5="maior melhor",IF(J5&lt;H5,"ALERTA",IF(J5&lt;G5,"abaixo da meta","OK")),IF(J5&gt;H5,"ALERTA",IF(J5&gt;G5,"acima da meta","OK")))))</f>
        <v>—</v>
      </c>
      <c r="L5" s="39" t="s">
        <v>365</v>
      </c>
    </row>
    <row r="6" customFormat="false" ht="28.5" hidden="false" customHeight="true" outlineLevel="0" collapsed="false">
      <c r="A6" s="37" t="n">
        <v>2</v>
      </c>
      <c r="B6" s="44" t="s">
        <v>366</v>
      </c>
      <c r="C6" s="39" t="s">
        <v>367</v>
      </c>
      <c r="D6" s="39" t="s">
        <v>368</v>
      </c>
      <c r="E6" s="39" t="s">
        <v>369</v>
      </c>
      <c r="F6" s="37" t="s">
        <v>363</v>
      </c>
      <c r="G6" s="53" t="n">
        <f aca="false">Premissas!$B$51</f>
        <v>0.8</v>
      </c>
      <c r="H6" s="54" t="n">
        <f aca="false">G6*Premissas!$B$61</f>
        <v>0.64</v>
      </c>
      <c r="I6" s="37" t="s">
        <v>370</v>
      </c>
      <c r="J6" s="11"/>
      <c r="K6" s="55" t="str">
        <f aca="false">IF(J6="","—",IF(OR(NOT(ISNUMBER(G6)),NOT(ISNUMBER(H6))),"meta pendente: preencha o custo",IF(F6="maior melhor",IF(J6&lt;H6,"ALERTA",IF(J6&lt;G6,"abaixo da meta","OK")),IF(J6&gt;H6,"ALERTA",IF(J6&gt;G6,"acima da meta","OK")))))</f>
        <v>—</v>
      </c>
      <c r="L6" s="39" t="s">
        <v>371</v>
      </c>
    </row>
    <row r="7" customFormat="false" ht="28.5" hidden="false" customHeight="true" outlineLevel="0" collapsed="false">
      <c r="A7" s="37" t="n">
        <v>3</v>
      </c>
      <c r="B7" s="44" t="s">
        <v>372</v>
      </c>
      <c r="C7" s="39" t="s">
        <v>373</v>
      </c>
      <c r="D7" s="39" t="s">
        <v>374</v>
      </c>
      <c r="E7" s="39" t="s">
        <v>375</v>
      </c>
      <c r="F7" s="37" t="s">
        <v>376</v>
      </c>
      <c r="G7" s="56" t="str">
        <f aca="false">Funil!$B$25</f>
        <v>preencha o custo</v>
      </c>
      <c r="H7" s="56" t="str">
        <f aca="false">Funil!$B$24</f>
        <v>preencha o custo</v>
      </c>
      <c r="I7" s="37" t="s">
        <v>370</v>
      </c>
      <c r="J7" s="7"/>
      <c r="K7" s="55" t="str">
        <f aca="false">IF(J7="","—",IF(OR(NOT(ISNUMBER(G7)),NOT(ISNUMBER(H7))),"meta pendente: preencha o custo",IF(F7="maior melhor",IF(J7&lt;H7,"ALERTA",IF(J7&lt;G7,"abaixo da meta","OK")),IF(J7&gt;H7,"ALERTA",IF(J7&gt;G7,"acima da meta","OK")))))</f>
        <v>—</v>
      </c>
      <c r="L7" s="39" t="s">
        <v>377</v>
      </c>
    </row>
    <row r="8" customFormat="false" ht="28.5" hidden="false" customHeight="true" outlineLevel="0" collapsed="false">
      <c r="A8" s="37" t="n">
        <v>4</v>
      </c>
      <c r="B8" s="44" t="s">
        <v>378</v>
      </c>
      <c r="C8" s="39" t="s">
        <v>379</v>
      </c>
      <c r="D8" s="39" t="s">
        <v>380</v>
      </c>
      <c r="E8" s="39" t="s">
        <v>381</v>
      </c>
      <c r="F8" s="37" t="s">
        <v>376</v>
      </c>
      <c r="G8" s="56" t="str">
        <f aca="false">Funil!$B$28</f>
        <v>preencha o custo</v>
      </c>
      <c r="H8" s="56" t="str">
        <f aca="false">Funil!$B$27</f>
        <v>preencha o custo</v>
      </c>
      <c r="I8" s="37" t="s">
        <v>370</v>
      </c>
      <c r="J8" s="7"/>
      <c r="K8" s="55" t="str">
        <f aca="false">IF(J8="","—",IF(OR(NOT(ISNUMBER(G8)),NOT(ISNUMBER(H8))),"meta pendente: preencha o custo",IF(F8="maior melhor",IF(J8&lt;H8,"ALERTA",IF(J8&lt;G8,"abaixo da meta","OK")),IF(J8&gt;H8,"ALERTA",IF(J8&gt;G8,"acima da meta","OK")))))</f>
        <v>—</v>
      </c>
      <c r="L8" s="39" t="s">
        <v>382</v>
      </c>
    </row>
    <row r="9" customFormat="false" ht="42" hidden="false" customHeight="true" outlineLevel="0" collapsed="false">
      <c r="A9" s="37" t="n">
        <v>5</v>
      </c>
      <c r="B9" s="44" t="s">
        <v>383</v>
      </c>
      <c r="C9" s="39" t="s">
        <v>384</v>
      </c>
      <c r="D9" s="39" t="s">
        <v>385</v>
      </c>
      <c r="E9" s="39" t="s">
        <v>386</v>
      </c>
      <c r="F9" s="37" t="s">
        <v>376</v>
      </c>
      <c r="G9" s="56" t="str">
        <f aca="false">'Unit economics'!$B$34</f>
        <v>preencha o custo</v>
      </c>
      <c r="H9" s="56" t="str">
        <f aca="false">'Unit economics'!$B$33</f>
        <v>preencha o custo</v>
      </c>
      <c r="I9" s="37" t="s">
        <v>387</v>
      </c>
      <c r="J9" s="7"/>
      <c r="K9" s="55" t="str">
        <f aca="false">IF(J9="","—",IF(OR(NOT(ISNUMBER(G9)),NOT(ISNUMBER(H9))),"meta pendente: preencha o custo",IF(F9="maior melhor",IF(J9&lt;H9,"ALERTA",IF(J9&lt;G9,"abaixo da meta","OK")),IF(J9&gt;H9,"ALERTA",IF(J9&gt;G9,"acima da meta","OK")))))</f>
        <v>—</v>
      </c>
      <c r="L9" s="39" t="s">
        <v>388</v>
      </c>
    </row>
    <row r="10" customFormat="false" ht="28.5" hidden="false" customHeight="true" outlineLevel="0" collapsed="false">
      <c r="A10" s="37" t="n">
        <v>6</v>
      </c>
      <c r="B10" s="44" t="s">
        <v>389</v>
      </c>
      <c r="C10" s="39" t="s">
        <v>390</v>
      </c>
      <c r="D10" s="39" t="s">
        <v>391</v>
      </c>
      <c r="E10" s="39" t="s">
        <v>392</v>
      </c>
      <c r="F10" s="37" t="s">
        <v>363</v>
      </c>
      <c r="G10" s="57" t="str">
        <f aca="false">'Unit economics'!$B$37</f>
        <v>preencha o custo</v>
      </c>
      <c r="H10" s="57" t="str">
        <f aca="false">'Unit economics'!$B$35</f>
        <v>preencha o custo</v>
      </c>
      <c r="I10" s="37" t="s">
        <v>393</v>
      </c>
      <c r="J10" s="58"/>
      <c r="K10" s="55" t="str">
        <f aca="false">IF(J10="","—",IF(OR(NOT(ISNUMBER(G10)),NOT(ISNUMBER(H10))),"meta pendente: preencha o custo",IF(F10="maior melhor",IF(J10&lt;H10,"ALERTA",IF(J10&lt;G10,"abaixo da meta","OK")),IF(J10&gt;H10,"ALERTA",IF(J10&gt;G10,"acima da meta","OK")))))</f>
        <v>—</v>
      </c>
      <c r="L10" s="39" t="s">
        <v>394</v>
      </c>
    </row>
    <row r="11" customFormat="false" ht="28.5" hidden="false" customHeight="true" outlineLevel="0" collapsed="false">
      <c r="A11" s="37" t="n">
        <v>7</v>
      </c>
      <c r="B11" s="44" t="s">
        <v>395</v>
      </c>
      <c r="C11" s="39" t="s">
        <v>396</v>
      </c>
      <c r="D11" s="39" t="s">
        <v>397</v>
      </c>
      <c r="E11" s="39" t="s">
        <v>398</v>
      </c>
      <c r="F11" s="37" t="s">
        <v>363</v>
      </c>
      <c r="G11" s="57" t="str">
        <f aca="false">'Unit economics'!$B$38</f>
        <v>preencha o custo</v>
      </c>
      <c r="H11" s="57" t="str">
        <f aca="false">'Unit economics'!$B$36</f>
        <v>preencha o custo</v>
      </c>
      <c r="I11" s="37" t="s">
        <v>370</v>
      </c>
      <c r="J11" s="58"/>
      <c r="K11" s="55" t="str">
        <f aca="false">IF(J11="","—",IF(OR(NOT(ISNUMBER(G11)),NOT(ISNUMBER(H11))),"meta pendente: preencha o custo",IF(F11="maior melhor",IF(J11&lt;H11,"ALERTA",IF(J11&lt;G11,"abaixo da meta","OK")),IF(J11&gt;H11,"ALERTA",IF(J11&gt;G11,"acima da meta","OK")))))</f>
        <v>—</v>
      </c>
      <c r="L11" s="39" t="s">
        <v>399</v>
      </c>
    </row>
    <row r="12" customFormat="false" ht="15" hidden="false" customHeight="false" outlineLevel="0" collapsed="false">
      <c r="A12" s="4" t="s">
        <v>400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customFormat="false" ht="28.5" hidden="false" customHeight="true" outlineLevel="0" collapsed="false">
      <c r="A13" s="37" t="n">
        <v>8</v>
      </c>
      <c r="B13" s="44" t="s">
        <v>276</v>
      </c>
      <c r="C13" s="39" t="s">
        <v>401</v>
      </c>
      <c r="D13" s="39" t="s">
        <v>402</v>
      </c>
      <c r="E13" s="39" t="s">
        <v>403</v>
      </c>
      <c r="F13" s="37" t="s">
        <v>363</v>
      </c>
      <c r="G13" s="53" t="n">
        <f aca="false">Premissas!$B$52</f>
        <v>0.6</v>
      </c>
      <c r="H13" s="54" t="n">
        <f aca="false">G13*Premissas!$B$61</f>
        <v>0.48</v>
      </c>
      <c r="I13" s="37" t="s">
        <v>393</v>
      </c>
      <c r="J13" s="11"/>
      <c r="K13" s="55" t="str">
        <f aca="false">IF(J13="","—",IF(OR(NOT(ISNUMBER(G13)),NOT(ISNUMBER(H13))),"meta pendente: preencha o custo",IF(F13="maior melhor",IF(J13&lt;H13,"ALERTA",IF(J13&lt;G13,"abaixo da meta","OK")),IF(J13&gt;H13,"ALERTA",IF(J13&gt;G13,"acima da meta","OK")))))</f>
        <v>—</v>
      </c>
      <c r="L13" s="39" t="s">
        <v>371</v>
      </c>
    </row>
    <row r="14" customFormat="false" ht="28.5" hidden="false" customHeight="true" outlineLevel="0" collapsed="false">
      <c r="A14" s="37" t="n">
        <v>9</v>
      </c>
      <c r="B14" s="44" t="s">
        <v>404</v>
      </c>
      <c r="C14" s="39" t="s">
        <v>405</v>
      </c>
      <c r="D14" s="39" t="s">
        <v>406</v>
      </c>
      <c r="E14" s="39" t="s">
        <v>407</v>
      </c>
      <c r="F14" s="37" t="s">
        <v>363</v>
      </c>
      <c r="G14" s="53" t="n">
        <f aca="false">Premissas!$B$53</f>
        <v>0.5</v>
      </c>
      <c r="H14" s="54" t="n">
        <f aca="false">G14*Premissas!$B$61</f>
        <v>0.4</v>
      </c>
      <c r="I14" s="37" t="s">
        <v>393</v>
      </c>
      <c r="J14" s="11"/>
      <c r="K14" s="55" t="str">
        <f aca="false">IF(J14="","—",IF(OR(NOT(ISNUMBER(G14)),NOT(ISNUMBER(H14))),"meta pendente: preencha o custo",IF(F14="maior melhor",IF(J14&lt;H14,"ALERTA",IF(J14&lt;G14,"abaixo da meta","OK")),IF(J14&gt;H14,"ALERTA",IF(J14&gt;G14,"acima da meta","OK")))))</f>
        <v>—</v>
      </c>
      <c r="L14" s="39" t="s">
        <v>371</v>
      </c>
    </row>
    <row r="15" customFormat="false" ht="28.5" hidden="false" customHeight="true" outlineLevel="0" collapsed="false">
      <c r="A15" s="37" t="n">
        <v>10</v>
      </c>
      <c r="B15" s="44" t="s">
        <v>286</v>
      </c>
      <c r="C15" s="39" t="s">
        <v>408</v>
      </c>
      <c r="D15" s="39" t="s">
        <v>409</v>
      </c>
      <c r="E15" s="39" t="s">
        <v>410</v>
      </c>
      <c r="F15" s="37" t="s">
        <v>363</v>
      </c>
      <c r="G15" s="53" t="n">
        <f aca="false">Premissas!$B$54</f>
        <v>0.85</v>
      </c>
      <c r="H15" s="54" t="n">
        <f aca="false">G15*Premissas!$B$61</f>
        <v>0.68</v>
      </c>
      <c r="I15" s="37" t="s">
        <v>393</v>
      </c>
      <c r="J15" s="11"/>
      <c r="K15" s="55" t="str">
        <f aca="false">IF(J15="","—",IF(OR(NOT(ISNUMBER(G15)),NOT(ISNUMBER(H15))),"meta pendente: preencha o custo",IF(F15="maior melhor",IF(J15&lt;H15,"ALERTA",IF(J15&lt;G15,"abaixo da meta","OK")),IF(J15&gt;H15,"ALERTA",IF(J15&gt;G15,"acima da meta","OK")))))</f>
        <v>—</v>
      </c>
      <c r="L15" s="39" t="s">
        <v>371</v>
      </c>
    </row>
    <row r="16" customFormat="false" ht="28.5" hidden="false" customHeight="true" outlineLevel="0" collapsed="false">
      <c r="A16" s="37" t="n">
        <v>11</v>
      </c>
      <c r="B16" s="44" t="s">
        <v>291</v>
      </c>
      <c r="C16" s="39" t="s">
        <v>411</v>
      </c>
      <c r="D16" s="39" t="s">
        <v>412</v>
      </c>
      <c r="E16" s="39" t="s">
        <v>413</v>
      </c>
      <c r="F16" s="37" t="s">
        <v>363</v>
      </c>
      <c r="G16" s="53" t="n">
        <f aca="false">Premissas!$B$55</f>
        <v>0.15</v>
      </c>
      <c r="H16" s="54" t="n">
        <f aca="false">G16*Premissas!$B$61</f>
        <v>0.12</v>
      </c>
      <c r="I16" s="37" t="s">
        <v>393</v>
      </c>
      <c r="J16" s="11"/>
      <c r="K16" s="55" t="str">
        <f aca="false">IF(J16="","—",IF(OR(NOT(ISNUMBER(G16)),NOT(ISNUMBER(H16))),"meta pendente: preencha o custo",IF(F16="maior melhor",IF(J16&lt;H16,"ALERTA",IF(J16&lt;G16,"abaixo da meta","OK")),IF(J16&gt;H16,"ALERTA",IF(J16&gt;G16,"acima da meta","OK")))))</f>
        <v>—</v>
      </c>
      <c r="L16" s="39" t="s">
        <v>371</v>
      </c>
    </row>
    <row r="17" customFormat="false" ht="28.5" hidden="false" customHeight="true" outlineLevel="0" collapsed="false">
      <c r="A17" s="37" t="n">
        <v>12</v>
      </c>
      <c r="B17" s="44" t="s">
        <v>414</v>
      </c>
      <c r="C17" s="39" t="s">
        <v>415</v>
      </c>
      <c r="D17" s="39" t="s">
        <v>416</v>
      </c>
      <c r="E17" s="39" t="s">
        <v>417</v>
      </c>
      <c r="F17" s="37" t="s">
        <v>363</v>
      </c>
      <c r="G17" s="53" t="n">
        <f aca="false">Premissas!$B$56</f>
        <v>0.4</v>
      </c>
      <c r="H17" s="54" t="n">
        <f aca="false">G17*Premissas!$B$61</f>
        <v>0.32</v>
      </c>
      <c r="I17" s="37" t="s">
        <v>393</v>
      </c>
      <c r="J17" s="11"/>
      <c r="K17" s="55" t="str">
        <f aca="false">IF(J17="","—",IF(OR(NOT(ISNUMBER(G17)),NOT(ISNUMBER(H17))),"meta pendente: preencha o custo",IF(F17="maior melhor",IF(J17&lt;H17,"ALERTA",IF(J17&lt;G17,"abaixo da meta","OK")),IF(J17&gt;H17,"ALERTA",IF(J17&gt;G17,"acima da meta","OK")))))</f>
        <v>—</v>
      </c>
      <c r="L17" s="39" t="s">
        <v>371</v>
      </c>
    </row>
    <row r="18" customFormat="false" ht="15" hidden="false" customHeight="false" outlineLevel="0" collapsed="false">
      <c r="A18" s="37" t="n">
        <v>13</v>
      </c>
      <c r="B18" s="44" t="s">
        <v>317</v>
      </c>
      <c r="C18" s="39" t="s">
        <v>418</v>
      </c>
      <c r="D18" s="39" t="s">
        <v>419</v>
      </c>
      <c r="E18" s="39" t="s">
        <v>420</v>
      </c>
      <c r="F18" s="37" t="s">
        <v>363</v>
      </c>
      <c r="G18" s="59" t="n">
        <f aca="false">Funil!$B$17</f>
        <v>0.0153</v>
      </c>
      <c r="H18" s="60" t="n">
        <f aca="false">G18*Premissas!$B$61</f>
        <v>0.01224</v>
      </c>
      <c r="I18" s="37" t="s">
        <v>393</v>
      </c>
      <c r="J18" s="61"/>
      <c r="K18" s="55" t="str">
        <f aca="false">IF(J18="","—",IF(OR(NOT(ISNUMBER(G18)),NOT(ISNUMBER(H18))),"meta pendente: preencha o custo",IF(F18="maior melhor",IF(J18&lt;H18,"ALERTA",IF(J18&lt;G18,"abaixo da meta","OK")),IF(J18&gt;H18,"ALERTA",IF(J18&gt;G18,"acima da meta","OK")))))</f>
        <v>—</v>
      </c>
      <c r="L18" s="39" t="s">
        <v>421</v>
      </c>
    </row>
    <row r="19" customFormat="false" ht="15" hidden="false" customHeight="false" outlineLevel="0" collapsed="false">
      <c r="A19" s="37" t="n">
        <v>14</v>
      </c>
      <c r="B19" s="44" t="s">
        <v>322</v>
      </c>
      <c r="C19" s="39" t="s">
        <v>422</v>
      </c>
      <c r="D19" s="39" t="s">
        <v>423</v>
      </c>
      <c r="E19" s="39" t="s">
        <v>424</v>
      </c>
      <c r="F19" s="37" t="s">
        <v>363</v>
      </c>
      <c r="G19" s="56" t="n">
        <f aca="false">Funil!$B$20</f>
        <v>1.51805529</v>
      </c>
      <c r="H19" s="62" t="n">
        <f aca="false">G19*Premissas!$B$61</f>
        <v>1.214444232</v>
      </c>
      <c r="I19" s="37" t="s">
        <v>393</v>
      </c>
      <c r="J19" s="7"/>
      <c r="K19" s="55" t="str">
        <f aca="false">IF(J19="","—",IF(OR(NOT(ISNUMBER(G19)),NOT(ISNUMBER(H19))),"meta pendente: preencha o custo",IF(F19="maior melhor",IF(J19&lt;H19,"ALERTA",IF(J19&lt;G19,"abaixo da meta","OK")),IF(J19&gt;H19,"ALERTA",IF(J19&gt;G19,"acima da meta","OK")))))</f>
        <v>—</v>
      </c>
      <c r="L19" s="39" t="s">
        <v>425</v>
      </c>
    </row>
    <row r="20" customFormat="false" ht="28.5" hidden="false" customHeight="true" outlineLevel="0" collapsed="false">
      <c r="A20" s="37" t="n">
        <v>15</v>
      </c>
      <c r="B20" s="44" t="s">
        <v>426</v>
      </c>
      <c r="C20" s="39" t="s">
        <v>427</v>
      </c>
      <c r="D20" s="39" t="s">
        <v>428</v>
      </c>
      <c r="E20" s="39" t="s">
        <v>429</v>
      </c>
      <c r="F20" s="37" t="s">
        <v>363</v>
      </c>
      <c r="G20" s="53" t="n">
        <f aca="false">Premissas!$B$60</f>
        <v>0.3</v>
      </c>
      <c r="H20" s="54" t="n">
        <f aca="false">G20*Premissas!$B$61</f>
        <v>0.24</v>
      </c>
      <c r="I20" s="37" t="s">
        <v>393</v>
      </c>
      <c r="J20" s="11"/>
      <c r="K20" s="55" t="str">
        <f aca="false">IF(J20="","—",IF(OR(NOT(ISNUMBER(G20)),NOT(ISNUMBER(H20))),"meta pendente: preencha o custo",IF(F20="maior melhor",IF(J20&lt;H20,"ALERTA",IF(J20&lt;G20,"abaixo da meta","OK")),IF(J20&gt;H20,"ALERTA",IF(J20&gt;G20,"acima da meta","OK")))))</f>
        <v>—</v>
      </c>
      <c r="L20" s="39" t="s">
        <v>365</v>
      </c>
    </row>
    <row r="21" customFormat="false" ht="15" hidden="false" customHeight="false" outlineLevel="0" collapsed="false">
      <c r="A21" s="4" t="s">
        <v>430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customFormat="false" ht="28.5" hidden="false" customHeight="true" outlineLevel="0" collapsed="false">
      <c r="A22" s="37" t="n">
        <v>16</v>
      </c>
      <c r="B22" s="44" t="s">
        <v>431</v>
      </c>
      <c r="C22" s="39" t="s">
        <v>432</v>
      </c>
      <c r="D22" s="39" t="s">
        <v>433</v>
      </c>
      <c r="E22" s="39" t="s">
        <v>434</v>
      </c>
      <c r="F22" s="37" t="s">
        <v>363</v>
      </c>
      <c r="G22" s="56" t="n">
        <f aca="false">'Unit economics'!$B$11</f>
        <v>86.3568</v>
      </c>
      <c r="H22" s="62" t="n">
        <f aca="false">G22*Premissas!$B$61</f>
        <v>69.08544</v>
      </c>
      <c r="I22" s="37" t="s">
        <v>393</v>
      </c>
      <c r="J22" s="7"/>
      <c r="K22" s="55" t="str">
        <f aca="false">IF(J22="","—",IF(OR(NOT(ISNUMBER(G22)),NOT(ISNUMBER(H22))),"meta pendente: preencha o custo",IF(F22="maior melhor",IF(J22&lt;H22,"ALERTA",IF(J22&lt;G22,"abaixo da meta","OK")),IF(J22&gt;H22,"ALERTA",IF(J22&gt;G22,"acima da meta","OK")))))</f>
        <v>—</v>
      </c>
      <c r="L22" s="39" t="s">
        <v>435</v>
      </c>
    </row>
    <row r="23" customFormat="false" ht="15" hidden="false" customHeight="false" outlineLevel="0" collapsed="false">
      <c r="A23" s="37" t="n">
        <v>17</v>
      </c>
      <c r="B23" s="44" t="s">
        <v>436</v>
      </c>
      <c r="C23" s="39" t="s">
        <v>437</v>
      </c>
      <c r="D23" s="39" t="s">
        <v>438</v>
      </c>
      <c r="E23" s="39" t="s">
        <v>439</v>
      </c>
      <c r="F23" s="37" t="s">
        <v>363</v>
      </c>
      <c r="G23" s="53" t="n">
        <f aca="false">Premissas!$B$24+Premissas!$B$25</f>
        <v>0.8</v>
      </c>
      <c r="H23" s="54" t="n">
        <f aca="false">G23*Premissas!$B$61</f>
        <v>0.64</v>
      </c>
      <c r="I23" s="37" t="s">
        <v>393</v>
      </c>
      <c r="J23" s="11"/>
      <c r="K23" s="55" t="str">
        <f aca="false">IF(J23="","—",IF(OR(NOT(ISNUMBER(G23)),NOT(ISNUMBER(H23))),"meta pendente: preencha o custo",IF(F23="maior melhor",IF(J23&lt;H23,"ALERTA",IF(J23&lt;G23,"abaixo da meta","OK")),IF(J23&gt;H23,"ALERTA",IF(J23&gt;G23,"acima da meta","OK")))))</f>
        <v>—</v>
      </c>
      <c r="L23" s="39" t="s">
        <v>440</v>
      </c>
    </row>
    <row r="24" customFormat="false" ht="15" hidden="false" customHeight="false" outlineLevel="0" collapsed="false">
      <c r="A24" s="37" t="n">
        <v>18</v>
      </c>
      <c r="B24" s="44" t="s">
        <v>59</v>
      </c>
      <c r="C24" s="39" t="s">
        <v>441</v>
      </c>
      <c r="D24" s="39" t="s">
        <v>442</v>
      </c>
      <c r="E24" s="39" t="s">
        <v>443</v>
      </c>
      <c r="F24" s="37" t="s">
        <v>363</v>
      </c>
      <c r="G24" s="53" t="n">
        <f aca="false">Premissas!$B$27</f>
        <v>0.25</v>
      </c>
      <c r="H24" s="54" t="n">
        <f aca="false">G24*Premissas!$B$61</f>
        <v>0.2</v>
      </c>
      <c r="I24" s="37" t="s">
        <v>393</v>
      </c>
      <c r="J24" s="11"/>
      <c r="K24" s="55" t="str">
        <f aca="false">IF(J24="","—",IF(OR(NOT(ISNUMBER(G24)),NOT(ISNUMBER(H24))),"meta pendente: preencha o custo",IF(F24="maior melhor",IF(J24&lt;H24,"ALERTA",IF(J24&lt;G24,"abaixo da meta","OK")),IF(J24&gt;H24,"ALERTA",IF(J24&gt;G24,"acima da meta","OK")))))</f>
        <v>—</v>
      </c>
      <c r="L24" s="39" t="s">
        <v>440</v>
      </c>
    </row>
    <row r="25" customFormat="false" ht="55.5" hidden="false" customHeight="true" outlineLevel="0" collapsed="false">
      <c r="A25" s="37" t="n">
        <v>19</v>
      </c>
      <c r="B25" s="44" t="s">
        <v>444</v>
      </c>
      <c r="C25" s="39" t="s">
        <v>445</v>
      </c>
      <c r="D25" s="39" t="s">
        <v>446</v>
      </c>
      <c r="E25" s="39" t="s">
        <v>447</v>
      </c>
      <c r="F25" s="37" t="s">
        <v>363</v>
      </c>
      <c r="G25" s="53" t="n">
        <f aca="false">Premissas!$B$28</f>
        <v>0.15</v>
      </c>
      <c r="H25" s="54" t="n">
        <f aca="false">G25*Premissas!$B$61</f>
        <v>0.12</v>
      </c>
      <c r="I25" s="37" t="s">
        <v>393</v>
      </c>
      <c r="J25" s="11"/>
      <c r="K25" s="55" t="str">
        <f aca="false">IF(J25="","—",IF(OR(NOT(ISNUMBER(G25)),NOT(ISNUMBER(H25))),"meta pendente: preencha o custo",IF(F25="maior melhor",IF(J25&lt;H25,"ALERTA",IF(J25&lt;G25,"abaixo da meta","OK")),IF(J25&gt;H25,"ALERTA",IF(J25&gt;G25,"acima da meta","OK")))))</f>
        <v>—</v>
      </c>
      <c r="L25" s="39" t="s">
        <v>440</v>
      </c>
    </row>
    <row r="26" customFormat="false" ht="28.5" hidden="false" customHeight="true" outlineLevel="0" collapsed="false">
      <c r="A26" s="37" t="n">
        <v>20</v>
      </c>
      <c r="B26" s="44" t="s">
        <v>448</v>
      </c>
      <c r="C26" s="39" t="s">
        <v>449</v>
      </c>
      <c r="D26" s="39" t="s">
        <v>450</v>
      </c>
      <c r="E26" s="39" t="s">
        <v>451</v>
      </c>
      <c r="F26" s="37" t="s">
        <v>363</v>
      </c>
      <c r="G26" s="53" t="n">
        <f aca="false">Premissas!$B$29</f>
        <v>0.1</v>
      </c>
      <c r="H26" s="54" t="n">
        <f aca="false">G26*Premissas!$B$61</f>
        <v>0.08</v>
      </c>
      <c r="I26" s="37" t="s">
        <v>393</v>
      </c>
      <c r="J26" s="11"/>
      <c r="K26" s="55" t="str">
        <f aca="false">IF(J26="","—",IF(OR(NOT(ISNUMBER(G26)),NOT(ISNUMBER(H26))),"meta pendente: preencha o custo",IF(F26="maior melhor",IF(J26&lt;H26,"ALERTA",IF(J26&lt;G26,"abaixo da meta","OK")),IF(J26&gt;H26,"ALERTA",IF(J26&gt;G26,"acima da meta","OK")))))</f>
        <v>—</v>
      </c>
      <c r="L26" s="39" t="s">
        <v>440</v>
      </c>
    </row>
    <row r="27" customFormat="false" ht="28.5" hidden="false" customHeight="true" outlineLevel="0" collapsed="false">
      <c r="A27" s="37" t="n">
        <v>21</v>
      </c>
      <c r="B27" s="44" t="s">
        <v>452</v>
      </c>
      <c r="C27" s="39" t="s">
        <v>453</v>
      </c>
      <c r="D27" s="39" t="s">
        <v>454</v>
      </c>
      <c r="E27" s="39" t="s">
        <v>455</v>
      </c>
      <c r="F27" s="37" t="s">
        <v>376</v>
      </c>
      <c r="G27" s="53" t="n">
        <f aca="false">Premissas!$B$21</f>
        <v>0.4</v>
      </c>
      <c r="H27" s="54" t="n">
        <f aca="false">G27*Premissas!$B$62</f>
        <v>0.48</v>
      </c>
      <c r="I27" s="37" t="s">
        <v>393</v>
      </c>
      <c r="J27" s="11"/>
      <c r="K27" s="55" t="str">
        <f aca="false">IF(J27="","—",IF(OR(NOT(ISNUMBER(G27)),NOT(ISNUMBER(H27))),"meta pendente: preencha o custo",IF(F27="maior melhor",IF(J27&lt;H27,"ALERTA",IF(J27&lt;G27,"abaixo da meta","OK")),IF(J27&gt;H27,"ALERTA",IF(J27&gt;G27,"acima da meta","OK")))))</f>
        <v>—</v>
      </c>
      <c r="L27" s="39" t="s">
        <v>456</v>
      </c>
    </row>
    <row r="28" customFormat="false" ht="15" hidden="false" customHeight="false" outlineLevel="0" collapsed="false">
      <c r="A28" s="4" t="s">
        <v>457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29" customFormat="false" ht="28.5" hidden="false" customHeight="true" outlineLevel="0" collapsed="false">
      <c r="A29" s="37" t="n">
        <v>22</v>
      </c>
      <c r="B29" s="44" t="s">
        <v>458</v>
      </c>
      <c r="C29" s="39" t="s">
        <v>459</v>
      </c>
      <c r="D29" s="39" t="s">
        <v>460</v>
      </c>
      <c r="E29" s="39" t="s">
        <v>461</v>
      </c>
      <c r="F29" s="37" t="s">
        <v>376</v>
      </c>
      <c r="G29" s="53" t="n">
        <f aca="false">Premissas!$B$45</f>
        <v>0.05</v>
      </c>
      <c r="H29" s="54" t="n">
        <f aca="false">G29*Premissas!$B$62</f>
        <v>0.06</v>
      </c>
      <c r="I29" s="37" t="s">
        <v>393</v>
      </c>
      <c r="J29" s="11"/>
      <c r="K29" s="55" t="str">
        <f aca="false">IF(J29="","—",IF(OR(NOT(ISNUMBER(G29)),NOT(ISNUMBER(H29))),"meta pendente: preencha o custo",IF(F29="maior melhor",IF(J29&lt;H29,"ALERTA",IF(J29&lt;G29,"abaixo da meta","OK")),IF(J29&gt;H29,"ALERTA",IF(J29&gt;G29,"acima da meta","OK")))))</f>
        <v>—</v>
      </c>
      <c r="L29" s="39" t="s">
        <v>462</v>
      </c>
    </row>
    <row r="30" customFormat="false" ht="15" hidden="false" customHeight="false" outlineLevel="0" collapsed="false">
      <c r="A30" s="37" t="n">
        <v>23</v>
      </c>
      <c r="B30" s="44" t="s">
        <v>104</v>
      </c>
      <c r="C30" s="39" t="s">
        <v>463</v>
      </c>
      <c r="D30" s="39" t="s">
        <v>464</v>
      </c>
      <c r="E30" s="39" t="s">
        <v>465</v>
      </c>
      <c r="F30" s="37" t="s">
        <v>376</v>
      </c>
      <c r="G30" s="59" t="n">
        <f aca="false">Premissas!$B$46</f>
        <v>0.005</v>
      </c>
      <c r="H30" s="60" t="n">
        <f aca="false">G30*Premissas!$B$62</f>
        <v>0.006</v>
      </c>
      <c r="I30" s="37" t="s">
        <v>393</v>
      </c>
      <c r="J30" s="61"/>
      <c r="K30" s="55" t="str">
        <f aca="false">IF(J30="","—",IF(OR(NOT(ISNUMBER(G30)),NOT(ISNUMBER(H30))),"meta pendente: preencha o custo",IF(F30="maior melhor",IF(J30&lt;H30,"ALERTA",IF(J30&lt;G30,"abaixo da meta","OK")),IF(J30&gt;H30,"ALERTA",IF(J30&gt;G30,"acima da meta","OK")))))</f>
        <v>—</v>
      </c>
      <c r="L30" s="39" t="s">
        <v>462</v>
      </c>
    </row>
    <row r="31" customFormat="false" ht="28.5" hidden="false" customHeight="true" outlineLevel="0" collapsed="false">
      <c r="A31" s="37" t="n">
        <v>24</v>
      </c>
      <c r="B31" s="44" t="s">
        <v>466</v>
      </c>
      <c r="C31" s="39" t="s">
        <v>467</v>
      </c>
      <c r="D31" s="39" t="s">
        <v>468</v>
      </c>
      <c r="E31" s="39" t="s">
        <v>469</v>
      </c>
      <c r="F31" s="37" t="s">
        <v>363</v>
      </c>
      <c r="G31" s="63" t="n">
        <f aca="false">Premissas!$B$31</f>
        <v>1</v>
      </c>
      <c r="H31" s="64" t="n">
        <f aca="false">G31*Premissas!$B$61</f>
        <v>0.8</v>
      </c>
      <c r="I31" s="37" t="s">
        <v>470</v>
      </c>
      <c r="J31" s="17"/>
      <c r="K31" s="55" t="str">
        <f aca="false">IF(J31="","—",IF(OR(NOT(ISNUMBER(G31)),NOT(ISNUMBER(H31))),"meta pendente: preencha o custo",IF(F31="maior melhor",IF(J31&lt;H31,"ALERTA",IF(J31&lt;G31,"abaixo da meta","OK")),IF(J31&gt;H31,"ALERTA",IF(J31&gt;G31,"acima da meta","OK")))))</f>
        <v>—</v>
      </c>
      <c r="L31" s="39" t="s">
        <v>471</v>
      </c>
    </row>
    <row r="32" customFormat="false" ht="28.5" hidden="false" customHeight="true" outlineLevel="0" collapsed="false">
      <c r="A32" s="37" t="n">
        <v>25</v>
      </c>
      <c r="B32" s="44" t="s">
        <v>472</v>
      </c>
      <c r="C32" s="39" t="s">
        <v>473</v>
      </c>
      <c r="D32" s="39" t="s">
        <v>474</v>
      </c>
      <c r="E32" s="39" t="s">
        <v>469</v>
      </c>
      <c r="F32" s="37" t="s">
        <v>363</v>
      </c>
      <c r="G32" s="63" t="n">
        <f aca="false">Premissas!$B$32</f>
        <v>1</v>
      </c>
      <c r="H32" s="64" t="n">
        <f aca="false">G32*Premissas!$B$61</f>
        <v>0.8</v>
      </c>
      <c r="I32" s="37" t="s">
        <v>470</v>
      </c>
      <c r="J32" s="17"/>
      <c r="K32" s="55" t="str">
        <f aca="false">IF(J32="","—",IF(OR(NOT(ISNUMBER(G32)),NOT(ISNUMBER(H32))),"meta pendente: preencha o custo",IF(F32="maior melhor",IF(J32&lt;H32,"ALERTA",IF(J32&lt;G32,"abaixo da meta","OK")),IF(J32&gt;H32,"ALERTA",IF(J32&gt;G32,"acima da meta","OK")))))</f>
        <v>—</v>
      </c>
      <c r="L32" s="39" t="s">
        <v>471</v>
      </c>
    </row>
    <row r="33" customFormat="false" ht="28.5" hidden="false" customHeight="true" outlineLevel="0" collapsed="false">
      <c r="A33" s="37" t="n">
        <v>26</v>
      </c>
      <c r="B33" s="44" t="s">
        <v>475</v>
      </c>
      <c r="C33" s="39" t="s">
        <v>476</v>
      </c>
      <c r="D33" s="39" t="s">
        <v>477</v>
      </c>
      <c r="E33" s="39" t="s">
        <v>478</v>
      </c>
      <c r="F33" s="37" t="s">
        <v>363</v>
      </c>
      <c r="G33" s="53" t="n">
        <f aca="false">Premissas!$B$48</f>
        <v>0.2</v>
      </c>
      <c r="H33" s="54" t="n">
        <v>0</v>
      </c>
      <c r="I33" s="37" t="s">
        <v>393</v>
      </c>
      <c r="J33" s="11"/>
      <c r="K33" s="55" t="str">
        <f aca="false">IF(J33="","—",IF(OR(NOT(ISNUMBER(G33)),NOT(ISNUMBER(H33))),"meta pendente: preencha o custo",IF(F33="maior melhor",IF(J33&lt;H33,"ALERTA",IF(J33&lt;G33,"abaixo da meta","OK")),IF(J33&gt;H33,"ALERTA",IF(J33&gt;G33,"acima da meta","OK")))))</f>
        <v>—</v>
      </c>
      <c r="L33" s="39" t="s">
        <v>479</v>
      </c>
    </row>
    <row r="34" customFormat="false" ht="15" hidden="false" customHeight="false" outlineLevel="0" collapsed="false">
      <c r="A34" s="4" t="s">
        <v>480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customFormat="false" ht="42" hidden="false" customHeight="true" outlineLevel="0" collapsed="false">
      <c r="A35" s="37" t="n">
        <v>27</v>
      </c>
      <c r="B35" s="44" t="s">
        <v>481</v>
      </c>
      <c r="C35" s="39" t="s">
        <v>482</v>
      </c>
      <c r="D35" s="39" t="s">
        <v>483</v>
      </c>
      <c r="E35" s="39" t="s">
        <v>484</v>
      </c>
      <c r="F35" s="37" t="s">
        <v>363</v>
      </c>
      <c r="G35" s="53" t="n">
        <f aca="false">Premissas!$B$59</f>
        <v>0.8</v>
      </c>
      <c r="H35" s="54" t="n">
        <f aca="false">G35*Premissas!$B$61</f>
        <v>0.64</v>
      </c>
      <c r="I35" s="37" t="s">
        <v>393</v>
      </c>
      <c r="J35" s="11"/>
      <c r="K35" s="55" t="str">
        <f aca="false">IF(J35="","—",IF(OR(NOT(ISNUMBER(G35)),NOT(ISNUMBER(H35))),"meta pendente: preencha o custo",IF(F35="maior melhor",IF(J35&lt;H35,"ALERTA",IF(J35&lt;G35,"abaixo da meta","OK")),IF(J35&gt;H35,"ALERTA",IF(J35&gt;G35,"acima da meta","OK")))))</f>
        <v>—</v>
      </c>
      <c r="L35" s="39" t="s">
        <v>365</v>
      </c>
    </row>
  </sheetData>
  <mergeCells count="1">
    <mergeCell ref="A2:L2"/>
  </mergeCells>
  <conditionalFormatting sqref="G4:H35">
    <cfRule type="expression" priority="2" aboveAverage="0" equalAverage="0" bottom="0" percent="0" rank="0" text="" dxfId="0">
      <formula>ISNUMBER(SEARCH("preencha",G4))</formula>
    </cfRule>
  </conditionalFormatting>
  <conditionalFormatting sqref="K4:K35">
    <cfRule type="expression" priority="3" aboveAverage="0" equalAverage="0" bottom="0" percent="0" rank="0" text="" dxfId="1">
      <formula>ISNUMBER(SEARCH("ALERTA",K4))</formula>
    </cfRule>
    <cfRule type="expression" priority="4" aboveAverage="0" equalAverage="0" bottom="0" percent="0" rank="0" text="" dxfId="2">
      <formula>K4="OK"</formula>
    </cfRule>
    <cfRule type="expression" priority="5" aboveAverage="0" equalAverage="0" bottom="0" percent="0" rank="0" text="" dxfId="3">
      <formula>ISNUMBER(SEARCH("abaixo da meta",K4))</formula>
    </cfRule>
    <cfRule type="expression" priority="6" aboveAverage="0" equalAverage="0" bottom="0" percent="0" rank="0" text="" dxfId="3">
      <formula>ISNUMBER(SEARCH("acima da meta",K4))</formula>
    </cfRule>
    <cfRule type="expression" priority="7" aboveAverage="0" equalAverage="0" bottom="0" percent="0" rank="0" text="" dxfId="0">
      <formula>ISNUMBER(SEARCH("meta pendente",K4))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485</v>
      </c>
    </row>
    <row r="3" customFormat="false" ht="15" hidden="false" customHeight="false" outlineLevel="0" collapsed="false">
      <c r="A3" s="4" t="s">
        <v>486</v>
      </c>
      <c r="B3" s="5"/>
    </row>
    <row r="4" customFormat="false" ht="30.75" hidden="false" customHeight="true" outlineLevel="0" collapsed="false">
      <c r="A4" s="65" t="s">
        <v>487</v>
      </c>
      <c r="B4" s="6" t="s">
        <v>488</v>
      </c>
    </row>
    <row r="5" customFormat="false" ht="17.25" hidden="false" customHeight="true" outlineLevel="0" collapsed="false">
      <c r="A5" s="65" t="s">
        <v>489</v>
      </c>
      <c r="B5" s="6" t="s">
        <v>490</v>
      </c>
    </row>
    <row r="6" customFormat="false" ht="44.25" hidden="false" customHeight="true" outlineLevel="0" collapsed="false">
      <c r="A6" s="65" t="s">
        <v>491</v>
      </c>
      <c r="B6" s="6" t="s">
        <v>492</v>
      </c>
    </row>
    <row r="7" customFormat="false" ht="15" hidden="false" customHeight="false" outlineLevel="0" collapsed="false">
      <c r="A7" s="4" t="s">
        <v>493</v>
      </c>
      <c r="B7" s="5"/>
    </row>
    <row r="8" customFormat="false" ht="44.25" hidden="false" customHeight="true" outlineLevel="0" collapsed="false">
      <c r="A8" s="65" t="s">
        <v>494</v>
      </c>
      <c r="B8" s="6" t="s">
        <v>495</v>
      </c>
    </row>
    <row r="9" customFormat="false" ht="44.25" hidden="false" customHeight="true" outlineLevel="0" collapsed="false">
      <c r="A9" s="65" t="s">
        <v>496</v>
      </c>
      <c r="B9" s="6" t="s">
        <v>497</v>
      </c>
    </row>
    <row r="10" customFormat="false" ht="44.25" hidden="false" customHeight="true" outlineLevel="0" collapsed="false">
      <c r="A10" s="65" t="s">
        <v>498</v>
      </c>
      <c r="B10" s="6" t="s">
        <v>499</v>
      </c>
    </row>
    <row r="11" customFormat="false" ht="15" hidden="false" customHeight="false" outlineLevel="0" collapsed="false">
      <c r="A11" s="4" t="s">
        <v>500</v>
      </c>
      <c r="B11" s="5"/>
    </row>
    <row r="12" customFormat="false" ht="44.25" hidden="false" customHeight="true" outlineLevel="0" collapsed="false">
      <c r="A12" s="65" t="s">
        <v>501</v>
      </c>
      <c r="B12" s="6" t="s">
        <v>502</v>
      </c>
    </row>
    <row r="13" customFormat="false" ht="30.75" hidden="false" customHeight="true" outlineLevel="0" collapsed="false">
      <c r="A13" s="65" t="s">
        <v>503</v>
      </c>
      <c r="B13" s="6" t="s">
        <v>504</v>
      </c>
    </row>
    <row r="14" customFormat="false" ht="15" hidden="false" customHeight="false" outlineLevel="0" collapsed="false">
      <c r="A14" s="4" t="s">
        <v>505</v>
      </c>
      <c r="B14" s="5"/>
    </row>
    <row r="15" customFormat="false" ht="44.25" hidden="false" customHeight="true" outlineLevel="0" collapsed="false">
      <c r="A15" s="65" t="s">
        <v>506</v>
      </c>
      <c r="B15" s="6" t="s">
        <v>507</v>
      </c>
    </row>
    <row r="16" customFormat="false" ht="44.25" hidden="false" customHeight="true" outlineLevel="0" collapsed="false">
      <c r="A16" s="65" t="s">
        <v>508</v>
      </c>
      <c r="B16" s="6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2026-10-16T16:54:32Z</dcterms:created>
  <dc:creator>openpyxl</dc:creator>
  <dc:description/>
  <dc:language>en-US</dc:language>
  <cp:lastModifiedBy/>
  <dcterms:modified xsi:type="dcterms:W3CDTF">2026-10-16T16:54:32Z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