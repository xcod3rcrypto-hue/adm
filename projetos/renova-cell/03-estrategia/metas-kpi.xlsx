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Funil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Como usar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0.0%"/>
    <numFmt numFmtId="166" formatCode="0.0"/>
    <numFmt numFmtId="167" formatCode="0.00\x"/>
    <numFmt numFmtId="168" formatCode="#,##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B4D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3B4D"/>
      <sz val="11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Consolas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D9E2E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9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" fontId="9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top" wrapText="1"/>
    </xf>
    <xf numFmtId="49" fontId="12" fillId="5" borderId="0" applyAlignment="1" pivotButton="0" quotePrefix="0" xfId="0">
      <alignment horizontal="right" vertical="top"/>
    </xf>
    <xf numFmtId="0" fontId="8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3" fontId="15" fillId="0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49" fontId="16" fillId="0" borderId="0" applyAlignment="1" pivotButton="0" quotePrefix="0" xfId="0">
      <alignment horizontal="right" vertical="top"/>
    </xf>
    <xf numFmtId="164" fontId="16" fillId="0" borderId="0" applyAlignment="1" pivotButton="0" quotePrefix="0" xfId="0">
      <alignment horizontal="right" vertical="top"/>
    </xf>
    <xf numFmtId="164" fontId="12" fillId="5" borderId="0" applyAlignment="1" pivotButton="0" quotePrefix="0" xfId="0">
      <alignment horizontal="right" vertical="top"/>
    </xf>
    <xf numFmtId="165" fontId="16" fillId="0" borderId="0" applyAlignment="1" pivotButton="0" quotePrefix="0" xfId="0">
      <alignment horizontal="right" vertical="top"/>
    </xf>
    <xf numFmtId="4" fontId="16" fillId="0" borderId="0" applyAlignment="1" pivotButton="0" quotePrefix="0" xfId="0">
      <alignment horizontal="right" vertical="top"/>
    </xf>
    <xf numFmtId="167" fontId="12" fillId="5" borderId="0" applyAlignment="1" pivotButton="0" quotePrefix="0" xfId="0">
      <alignment horizontal="right" vertical="top"/>
    </xf>
    <xf numFmtId="167" fontId="16" fillId="0" borderId="0" applyAlignment="1" pivotButton="0" quotePrefix="0" xfId="0">
      <alignment horizontal="right" vertical="top"/>
    </xf>
    <xf numFmtId="0" fontId="8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168" fontId="15" fillId="0" borderId="1" applyAlignment="1" pivotButton="0" quotePrefix="0" xfId="0">
      <alignment horizontal="general" vertical="top" wrapText="1"/>
    </xf>
    <xf numFmtId="10" fontId="16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general" vertical="top" wrapText="1"/>
    </xf>
    <xf numFmtId="168" fontId="12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0" fontId="16" fillId="0" borderId="0" applyAlignment="1" pivotButton="0" quotePrefix="0" xfId="0">
      <alignment horizontal="right" vertical="bottom"/>
    </xf>
    <xf numFmtId="164" fontId="15" fillId="0" borderId="0" applyAlignment="1" pivotButton="0" quotePrefix="0" xfId="0">
      <alignment horizontal="right" vertical="bottom"/>
    </xf>
    <xf numFmtId="164" fontId="16" fillId="0" borderId="0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right" vertical="bottom"/>
    </xf>
    <xf numFmtId="0" fontId="5" fillId="5" borderId="0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right" vertical="top"/>
    </xf>
    <xf numFmtId="165" fontId="16" fillId="0" borderId="1" applyAlignment="1" pivotButton="0" quotePrefix="0" xfId="0">
      <alignment horizontal="right" vertical="top"/>
    </xf>
    <xf numFmtId="0" fontId="12" fillId="0" borderId="1" applyAlignment="1" pivotButton="0" quotePrefix="0" xfId="0">
      <alignment horizontal="general" vertical="top"/>
    </xf>
    <xf numFmtId="164" fontId="15" fillId="0" borderId="1" applyAlignment="1" pivotButton="0" quotePrefix="0" xfId="0">
      <alignment horizontal="right" vertical="top"/>
    </xf>
    <xf numFmtId="167" fontId="15" fillId="0" borderId="1" applyAlignment="1" pivotButton="0" quotePrefix="0" xfId="0">
      <alignment horizontal="right" vertical="top"/>
    </xf>
    <xf numFmtId="167" fontId="9" fillId="4" borderId="1" applyAlignment="1" pivotButton="0" quotePrefix="0" xfId="0">
      <alignment horizontal="general" vertical="bottom"/>
    </xf>
    <xf numFmtId="10" fontId="15" fillId="0" borderId="1" applyAlignment="1" pivotButton="0" quotePrefix="0" xfId="0">
      <alignment horizontal="right" vertical="top"/>
    </xf>
    <xf numFmtId="10" fontId="16" fillId="0" borderId="1" applyAlignment="1" pivotButton="0" quotePrefix="0" xfId="0">
      <alignment horizontal="right" vertical="top"/>
    </xf>
    <xf numFmtId="10" fontId="9" fillId="4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right" vertical="top"/>
    </xf>
    <xf numFmtId="166" fontId="15" fillId="0" borderId="1" applyAlignment="1" pivotButton="0" quotePrefix="0" xfId="0">
      <alignment horizontal="right" vertical="top"/>
    </xf>
    <xf numFmtId="166" fontId="16" fillId="0" borderId="1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3" fontId="9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" fontId="9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top" wrapText="1"/>
    </xf>
    <xf numFmtId="49" fontId="12" fillId="5" borderId="0" applyAlignment="1" pivotButton="0" quotePrefix="0" xfId="0">
      <alignment horizontal="right" vertical="top"/>
    </xf>
    <xf numFmtId="0" fontId="8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3" fontId="15" fillId="0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49" fontId="16" fillId="0" borderId="0" applyAlignment="1" pivotButton="0" quotePrefix="0" xfId="0">
      <alignment horizontal="right" vertical="top"/>
    </xf>
    <xf numFmtId="164" fontId="16" fillId="0" borderId="0" applyAlignment="1" pivotButton="0" quotePrefix="0" xfId="0">
      <alignment horizontal="right" vertical="top"/>
    </xf>
    <xf numFmtId="164" fontId="12" fillId="5" borderId="0" applyAlignment="1" pivotButton="0" quotePrefix="0" xfId="0">
      <alignment horizontal="right" vertical="top"/>
    </xf>
    <xf numFmtId="165" fontId="16" fillId="0" borderId="0" applyAlignment="1" pivotButton="0" quotePrefix="0" xfId="0">
      <alignment horizontal="right" vertical="top"/>
    </xf>
    <xf numFmtId="4" fontId="16" fillId="0" borderId="0" applyAlignment="1" pivotButton="0" quotePrefix="0" xfId="0">
      <alignment horizontal="right" vertical="top"/>
    </xf>
    <xf numFmtId="167" fontId="12" fillId="5" borderId="0" applyAlignment="1" pivotButton="0" quotePrefix="0" xfId="0">
      <alignment horizontal="right" vertical="top"/>
    </xf>
    <xf numFmtId="167" fontId="16" fillId="0" borderId="0" applyAlignment="1" pivotButton="0" quotePrefix="0" xfId="0">
      <alignment horizontal="right" vertical="top"/>
    </xf>
    <xf numFmtId="0" fontId="8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168" fontId="15" fillId="0" borderId="1" applyAlignment="1" pivotButton="0" quotePrefix="0" xfId="0">
      <alignment horizontal="general" vertical="top" wrapText="1"/>
    </xf>
    <xf numFmtId="10" fontId="16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general" vertical="top" wrapText="1"/>
    </xf>
    <xf numFmtId="168" fontId="12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10" fontId="16" fillId="0" borderId="0" applyAlignment="1" pivotButton="0" quotePrefix="0" xfId="0">
      <alignment horizontal="right" vertical="bottom"/>
    </xf>
    <xf numFmtId="164" fontId="15" fillId="0" borderId="0" applyAlignment="1" pivotButton="0" quotePrefix="0" xfId="0">
      <alignment horizontal="right" vertical="bottom"/>
    </xf>
    <xf numFmtId="164" fontId="16" fillId="0" borderId="0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right" vertical="bottom"/>
    </xf>
    <xf numFmtId="165" fontId="15" fillId="0" borderId="1" applyAlignment="1" pivotButton="0" quotePrefix="0" xfId="0">
      <alignment horizontal="right" vertical="top"/>
    </xf>
    <xf numFmtId="165" fontId="16" fillId="0" borderId="1" applyAlignment="1" pivotButton="0" quotePrefix="0" xfId="0">
      <alignment horizontal="right" vertical="top"/>
    </xf>
    <xf numFmtId="0" fontId="12" fillId="0" borderId="1" applyAlignment="1" pivotButton="0" quotePrefix="0" xfId="0">
      <alignment horizontal="general" vertical="top"/>
    </xf>
    <xf numFmtId="164" fontId="15" fillId="0" borderId="1" applyAlignment="1" pivotButton="0" quotePrefix="0" xfId="0">
      <alignment horizontal="right" vertical="top"/>
    </xf>
    <xf numFmtId="167" fontId="15" fillId="0" borderId="1" applyAlignment="1" pivotButton="0" quotePrefix="0" xfId="0">
      <alignment horizontal="right" vertical="top"/>
    </xf>
    <xf numFmtId="167" fontId="9" fillId="4" borderId="1" applyAlignment="1" pivotButton="0" quotePrefix="0" xfId="0">
      <alignment horizontal="general" vertical="bottom"/>
    </xf>
    <xf numFmtId="10" fontId="15" fillId="0" borderId="1" applyAlignment="1" pivotButton="0" quotePrefix="0" xfId="0">
      <alignment horizontal="right" vertical="top"/>
    </xf>
    <xf numFmtId="10" fontId="16" fillId="0" borderId="1" applyAlignment="1" pivotButton="0" quotePrefix="0" xfId="0">
      <alignment horizontal="right" vertical="top"/>
    </xf>
    <xf numFmtId="10" fontId="9" fillId="4" borderId="1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right" vertical="top"/>
    </xf>
    <xf numFmtId="166" fontId="15" fillId="0" borderId="1" applyAlignment="1" pivotButton="0" quotePrefix="0" xfId="0">
      <alignment horizontal="right" vertical="top"/>
    </xf>
    <xf numFmtId="166" fontId="16" fillId="0" borderId="1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6100"/>
      <rgbColor rgb="FF375623"/>
      <rgbColor rgb="FF9C5700"/>
      <rgbColor rgb="FF993366"/>
      <rgbColor rgb="FF333399"/>
      <rgbColor rgb="FF1F3B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66" min="1" max="1"/>
    <col width="14" customWidth="1" style="66" min="2" max="2"/>
    <col width="24" customWidth="1" style="66" min="3" max="3"/>
    <col width="34" customWidth="1" style="66" min="4" max="4"/>
    <col width="96" customWidth="1" style="66" min="5" max="5"/>
  </cols>
  <sheetData>
    <row r="1" ht="17.35" customHeight="1" s="67">
      <c r="A1" s="68" t="inlineStr">
        <is>
          <t>VitalRise — Premissas do modelo (USD)</t>
        </is>
      </c>
    </row>
    <row r="2" ht="27.75" customHeight="1" s="67">
      <c r="A2" s="69" t="inlineStr">
        <is>
          <t>Edite só as células em azul com fundo amarelo. Preto = fórmula; verde = link de outra aba. Cada premissa tem um rótulo: "fonte: código" (lib/products.ts e scripts do site), "conferir" (confirmar na conta do cliente) ou "HIPÓTESE: substituir por dados reais".</t>
        </is>
      </c>
    </row>
    <row r="3" ht="30" customHeight="1" s="67">
      <c r="A3" s="70" t="inlineStr">
        <is>
          <t>Premissa</t>
        </is>
      </c>
      <c r="B3" s="70" t="inlineStr">
        <is>
          <t>Valor</t>
        </is>
      </c>
      <c r="C3" s="70" t="inlineStr">
        <is>
          <t>Unidade</t>
        </is>
      </c>
      <c r="D3" s="70" t="inlineStr">
        <is>
          <t>Fonte / status</t>
        </is>
      </c>
      <c r="E3" s="70" t="inlineStr">
        <is>
          <t>Observação (de onde vem, onde conferir)</t>
        </is>
      </c>
    </row>
    <row r="4" ht="15" customHeight="1" s="67">
      <c r="A4" s="71" t="inlineStr">
        <is>
          <t>1. Preços em USD (lib/products.ts → PRICES.usd, valores em centavos ÷ 100)</t>
        </is>
      </c>
      <c r="B4" s="72" t="n"/>
      <c r="C4" s="72" t="n"/>
      <c r="D4" s="72" t="n"/>
      <c r="E4" s="72" t="n"/>
    </row>
    <row r="5" ht="15" customHeight="1" s="67">
      <c r="A5" s="73" t="inlineStr">
        <is>
          <t>Preço — 1 unidade</t>
        </is>
      </c>
      <c r="B5" s="74" t="n">
        <v>29.9</v>
      </c>
      <c r="C5" s="73" t="inlineStr">
        <is>
          <t>US$ por pedido</t>
        </is>
      </c>
      <c r="D5" s="75" t="inlineStr">
        <is>
          <t>fonte: código</t>
        </is>
      </c>
      <c r="E5" s="69" t="inlineStr">
        <is>
          <t>PRICES.usd.single = 2990</t>
        </is>
      </c>
    </row>
    <row r="6" ht="15" customHeight="1" s="67">
      <c r="A6" s="73" t="inlineStr">
        <is>
          <t>Preço — Kit 3 (pagamento único, ciclo de 90 dias)</t>
        </is>
      </c>
      <c r="B6" s="74" t="n">
        <v>80</v>
      </c>
      <c r="C6" s="73" t="inlineStr">
        <is>
          <t>US$ por pedido</t>
        </is>
      </c>
      <c r="D6" s="75" t="inlineStr">
        <is>
          <t>fonte: código</t>
        </is>
      </c>
      <c r="E6" s="69" t="inlineStr">
        <is>
          <t>PRICES.usd.kit3 = 8000</t>
        </is>
      </c>
    </row>
    <row r="7" ht="15" customHeight="1" s="67">
      <c r="A7" s="73" t="inlineStr">
        <is>
          <t>Preço — Kit 6 (estoque de 6 meses)</t>
        </is>
      </c>
      <c r="B7" s="74" t="n">
        <v>140</v>
      </c>
      <c r="C7" s="73" t="inlineStr">
        <is>
          <t>US$ por pedido</t>
        </is>
      </c>
      <c r="D7" s="75" t="inlineStr">
        <is>
          <t>fonte: código</t>
        </is>
      </c>
      <c r="E7" s="69" t="inlineStr">
        <is>
          <t>PRICES.usd.kit6 = 14000. Compra única ou assinatura pelo mesmo preço, que renova a cada 6 meses.</t>
        </is>
      </c>
    </row>
    <row r="8" ht="15" customHeight="1" s="67">
      <c r="A8" s="73" t="inlineStr">
        <is>
          <t>Preço — order bump (+1 unidade no checkout)</t>
        </is>
      </c>
      <c r="B8" s="74" t="n">
        <v>19.9</v>
      </c>
      <c r="C8" s="73" t="inlineStr">
        <is>
          <t>US$ por pedido</t>
        </is>
      </c>
      <c r="D8" s="75" t="inlineStr">
        <is>
          <t>fonte: código</t>
        </is>
      </c>
      <c r="E8" s="69" t="inlineStr">
        <is>
          <t>PRICES.usd.bump = 1990 (ORDER_BUMP)</t>
        </is>
      </c>
    </row>
    <row r="9" ht="15" customHeight="1" s="67">
      <c r="A9" s="73" t="inlineStr">
        <is>
          <t>Preço — upsell 1: Kit 6 pagamento único (45% off)</t>
        </is>
      </c>
      <c r="B9" s="74" t="n">
        <v>77</v>
      </c>
      <c r="C9" s="73" t="inlineStr">
        <is>
          <t>US$ por aceite</t>
        </is>
      </c>
      <c r="D9" s="75" t="inlineStr">
        <is>
          <t>fonte: código</t>
        </is>
      </c>
      <c r="E9" s="69" t="inlineStr">
        <is>
          <t>PRICES.usd.upsellKit6 = 7700 (UPSELL_KIT6)</t>
        </is>
      </c>
    </row>
    <row r="10" ht="15" customHeight="1" s="67">
      <c r="A10" s="73" t="inlineStr">
        <is>
          <t>Preço — upsell 2: assinatura Kit 3 a cada 3 meses (30% off)</t>
        </is>
      </c>
      <c r="B10" s="74" t="n">
        <v>56</v>
      </c>
      <c r="C10" s="73" t="inlineStr">
        <is>
          <t>US$ por cobrança (a cada 3 meses)</t>
        </is>
      </c>
      <c r="D10" s="75" t="inlineStr">
        <is>
          <t>fonte: código</t>
        </is>
      </c>
      <c r="E10" s="69" t="inlineStr">
        <is>
          <t>PRICES.usd.upsellSub = 5600 (UPSELL_SUBSCRIPTION, recorrência de 3 meses)</t>
        </is>
      </c>
    </row>
    <row r="11" ht="15" customHeight="1" s="67">
      <c r="A11" s="71" t="inlineStr">
        <is>
          <t>2. Unidades por cobrança (para o custo do produto)</t>
        </is>
      </c>
      <c r="B11" s="72" t="n"/>
      <c r="C11" s="72" t="n"/>
      <c r="D11" s="72" t="n"/>
      <c r="E11" s="72" t="n"/>
    </row>
    <row r="12" ht="15" customHeight="1" s="67">
      <c r="A12" s="73" t="inlineStr">
        <is>
          <t>Unidades — 1 unidade</t>
        </is>
      </c>
      <c r="B12" s="76" t="n">
        <v>1</v>
      </c>
      <c r="C12" s="73" t="inlineStr">
        <is>
          <t>unidades</t>
        </is>
      </c>
      <c r="D12" s="75" t="inlineStr">
        <is>
          <t>fonte: código</t>
        </is>
      </c>
      <c r="E12" s="69" t="inlineStr">
        <is>
          <t>PLANS.single.units = 1</t>
        </is>
      </c>
    </row>
    <row r="13" ht="15" customHeight="1" s="67">
      <c r="A13" s="73" t="inlineStr">
        <is>
          <t>Unidades — Kit 3</t>
        </is>
      </c>
      <c r="B13" s="76" t="n">
        <v>3</v>
      </c>
      <c r="C13" s="73" t="inlineStr">
        <is>
          <t>unidades</t>
        </is>
      </c>
      <c r="D13" s="75" t="inlineStr">
        <is>
          <t>fonte: código</t>
        </is>
      </c>
      <c r="E13" s="69" t="inlineStr">
        <is>
          <t>PLANS.kit3.units = 3</t>
        </is>
      </c>
    </row>
    <row r="14" ht="15" customHeight="1" s="67">
      <c r="A14" s="73" t="inlineStr">
        <is>
          <t>Unidades — Kit 6</t>
        </is>
      </c>
      <c r="B14" s="76" t="n">
        <v>6</v>
      </c>
      <c r="C14" s="73" t="inlineStr">
        <is>
          <t>unidades</t>
        </is>
      </c>
      <c r="D14" s="75" t="inlineStr">
        <is>
          <t>fonte: código</t>
        </is>
      </c>
      <c r="E14" s="69" t="inlineStr">
        <is>
          <t>PLANS.kit6.units = 6 (estoque de 6 meses)</t>
        </is>
      </c>
    </row>
    <row r="15" ht="15" customHeight="1" s="67">
      <c r="A15" s="73" t="inlineStr">
        <is>
          <t>Unidades — order bump</t>
        </is>
      </c>
      <c r="B15" s="76" t="n">
        <v>1</v>
      </c>
      <c r="C15" s="73" t="inlineStr">
        <is>
          <t>unidades</t>
        </is>
      </c>
      <c r="D15" s="75" t="inlineStr">
        <is>
          <t>fonte: código</t>
        </is>
      </c>
      <c r="E15" s="69" t="inlineStr">
        <is>
          <t>lib/i18n/en.ts cart.bumpTitle: "+1 extra unit"</t>
        </is>
      </c>
    </row>
    <row r="16" ht="15" customHeight="1" s="67">
      <c r="A16" s="73" t="inlineStr">
        <is>
          <t>Unidades — upsell 1 (Kit 6 único)</t>
        </is>
      </c>
      <c r="B16" s="76" t="n">
        <v>6</v>
      </c>
      <c r="C16" s="73" t="inlineStr">
        <is>
          <t>unidades</t>
        </is>
      </c>
      <c r="D16" s="75" t="inlineStr">
        <is>
          <t>fonte: código</t>
        </is>
      </c>
      <c r="E16" s="69" t="inlineStr">
        <is>
          <t>UPSELL_KIT6 = Kit 6 pagamento único</t>
        </is>
      </c>
    </row>
    <row r="17" ht="15" customHeight="1" s="67">
      <c r="A17" s="73" t="inlineStr">
        <is>
          <t>Unidades — upsell 2 (Kit 3 por cobrança)</t>
        </is>
      </c>
      <c r="B17" s="76" t="n">
        <v>3</v>
      </c>
      <c r="C17" s="73" t="inlineStr">
        <is>
          <t>unidades por cobrança</t>
        </is>
      </c>
      <c r="D17" s="75" t="inlineStr">
        <is>
          <t>fonte: código</t>
        </is>
      </c>
      <c r="E17" s="69" t="inlineStr">
        <is>
          <t>UPSELL_SUBSCRIPTION = Kit 3 a cada 3 meses</t>
        </is>
      </c>
    </row>
    <row r="18" ht="15" customHeight="1" s="67">
      <c r="A18" s="71" t="inlineStr">
        <is>
          <t>3. Cupom VITAL10</t>
        </is>
      </c>
      <c r="B18" s="72" t="n"/>
      <c r="C18" s="72" t="n"/>
      <c r="D18" s="72" t="n"/>
      <c r="E18" s="72" t="n"/>
    </row>
    <row r="19" ht="28.5" customHeight="1" s="67">
      <c r="A19" s="73" t="inlineStr">
        <is>
          <t>Desconto do cupom VITAL10</t>
        </is>
      </c>
      <c r="B19" s="77" t="n">
        <v>0.1</v>
      </c>
      <c r="C19" s="73" t="inlineStr">
        <is>
          <t>% da 1ª cobrança</t>
        </is>
      </c>
      <c r="D19" s="75" t="inlineStr">
        <is>
          <t>fonte: código</t>
        </is>
      </c>
      <c r="E19" s="69" t="inlineStr">
        <is>
          <t>scripts/stripe-setup.ts: percent_off 10, duration "once" (só o 1º pagamento). Upsells são cobranças separadas e não recebem o cupom.</t>
        </is>
      </c>
    </row>
    <row r="20" ht="28.5" customHeight="1" s="67">
      <c r="A20" s="73" t="inlineStr">
        <is>
          <t>O cupom também desconta o order bump? (1 = sim, 0 = não)</t>
        </is>
      </c>
      <c r="B20" s="78" t="n">
        <v>1</v>
      </c>
      <c r="C20" s="73" t="inlineStr">
        <is>
          <t>chave 0/1</t>
        </is>
      </c>
      <c r="D20" s="75" t="inlineStr">
        <is>
          <t>fonte: código</t>
        </is>
      </c>
      <c r="E20" s="69" t="inlineStr">
        <is>
          <t>O cupom é criado sem applies_to, então o Stripe desconta todos os itens da sessão (plano + bump). Atenção: o carrinho (components/checkout/CheckoutFlow.tsx) mostra o desconto só sobre o plano — alinhar.</t>
        </is>
      </c>
    </row>
    <row r="21" ht="28.5" customHeight="1" s="67">
      <c r="A21" s="73" t="inlineStr">
        <is>
          <t>% dos pedidos que usam o cupom</t>
        </is>
      </c>
      <c r="B21" s="77" t="n">
        <v>0.4</v>
      </c>
      <c r="C21" s="73" t="inlineStr">
        <is>
          <t>% dos pedidos</t>
        </is>
      </c>
      <c r="D21" s="79" t="inlineStr">
        <is>
          <t>HIPÓTESE: substituir por dados reais</t>
        </is>
      </c>
      <c r="E21" s="69" t="inlineStr">
        <is>
          <t>Medir no Stripe: Checkout Sessions com desconto (total_details.amount_discount &gt; 0). A tabela orders não guarda o cupom.</t>
        </is>
      </c>
    </row>
    <row r="22" ht="15" customHeight="1" s="67">
      <c r="A22" s="71" t="inlineStr">
        <is>
          <t>4. Mix de planos e take rates</t>
        </is>
      </c>
      <c r="B22" s="72" t="n"/>
      <c r="C22" s="72" t="n"/>
      <c r="D22" s="72" t="n"/>
      <c r="E22" s="72" t="n"/>
    </row>
    <row r="23" ht="15" customHeight="1" s="67">
      <c r="A23" s="73" t="inlineStr">
        <is>
          <t>Mix — pedidos de 1 unidade</t>
        </is>
      </c>
      <c r="B23" s="77" t="n">
        <v>0.2</v>
      </c>
      <c r="C23" s="73" t="inlineStr">
        <is>
          <t>% dos pedidos</t>
        </is>
      </c>
      <c r="D23" s="79" t="inlineStr">
        <is>
          <t>HIPÓTESE: substituir por dados reais</t>
        </is>
      </c>
      <c r="E23" s="69" t="inlineStr">
        <is>
          <t>Supabase orders.plan = 'single'</t>
        </is>
      </c>
    </row>
    <row r="24" ht="15" customHeight="1" s="67">
      <c r="A24" s="73" t="inlineStr">
        <is>
          <t>Mix — pedidos de Kit 3</t>
        </is>
      </c>
      <c r="B24" s="77" t="n">
        <v>0.55</v>
      </c>
      <c r="C24" s="73" t="inlineStr">
        <is>
          <t>% dos pedidos</t>
        </is>
      </c>
      <c r="D24" s="79" t="inlineStr">
        <is>
          <t>HIPÓTESE: substituir por dados reais</t>
        </is>
      </c>
      <c r="E24" s="69" t="inlineStr">
        <is>
          <t>orders.plan = 'kit3'. O quiz recomenda Kit 3 para quem não é persona sênior (lib/quiz.ts, recommendedPlan).</t>
        </is>
      </c>
    </row>
    <row r="25" ht="15" customHeight="1" s="67">
      <c r="A25" s="73" t="inlineStr">
        <is>
          <t>Mix — pedidos de Kit 6</t>
        </is>
      </c>
      <c r="B25" s="77" t="n">
        <v>0.25</v>
      </c>
      <c r="C25" s="73" t="inlineStr">
        <is>
          <t>% dos pedidos</t>
        </is>
      </c>
      <c r="D25" s="79" t="inlineStr">
        <is>
          <t>HIPÓTESE: substituir por dados reais</t>
        </is>
      </c>
      <c r="E25" s="69" t="inlineStr">
        <is>
          <t>orders.plan = 'kit6' (compra única ou assinatura). Recomendado para a persona sênior.</t>
        </is>
      </c>
    </row>
    <row r="26" ht="15" customHeight="1" s="67">
      <c r="A26" s="80" t="inlineStr">
        <is>
          <t>Verificação: soma do mix (deve dar 100%)</t>
        </is>
      </c>
      <c r="B26" s="81">
        <f>SUM($B$23,$B$24,$B$25)</f>
        <v/>
      </c>
      <c r="D26" s="82">
        <f>IF(ABS($B$26-1)&lt;0.0001,"OK","AJUSTAR: soma ≠ 100%")</f>
        <v/>
      </c>
      <c r="E26" s="69" t="inlineStr">
        <is>
          <t>Fórmula de checagem (não editar).</t>
        </is>
      </c>
    </row>
    <row r="27" ht="15" customHeight="1" s="67">
      <c r="A27" s="73" t="inlineStr">
        <is>
          <t>Take rate do order bump</t>
        </is>
      </c>
      <c r="B27" s="77" t="n">
        <v>0.25</v>
      </c>
      <c r="C27" s="73" t="inlineStr">
        <is>
          <t>% dos pedidos</t>
        </is>
      </c>
      <c r="D27" s="79" t="inlineStr">
        <is>
          <t>HIPÓTESE: substituir por dados reais</t>
        </is>
      </c>
      <c r="E27" s="69" t="inlineStr">
        <is>
          <t>orders.bump = true ÷ pedidos. O bump aparece para todos os planos.</t>
        </is>
      </c>
    </row>
    <row r="28" ht="28.5" customHeight="1" s="67">
      <c r="A28" s="73" t="inlineStr">
        <is>
          <t>Take rate do upsell 1 (Kit 6 único)</t>
        </is>
      </c>
      <c r="B28" s="77" t="n">
        <v>0.15</v>
      </c>
      <c r="C28" s="73" t="inlineStr">
        <is>
          <t>% de quem vê os upsells</t>
        </is>
      </c>
      <c r="D28" s="79" t="inlineStr">
        <is>
          <t>HIPÓTESE: substituir por dados reais</t>
        </is>
      </c>
      <c r="E28" s="69" t="inlineStr">
        <is>
          <t>Base: compradores de compra única de 1 unidade ou Kit 3. Quem assina qualquer plano ou compra o Kit 6 vai direto para /thank-you (app/api/checkout/route.ts). Evento upsell_accepted com offer = kit6.</t>
        </is>
      </c>
    </row>
    <row r="29" ht="28.5" customHeight="1" s="67">
      <c r="A29" s="73" t="inlineStr">
        <is>
          <t>Take rate do upsell 2 (assinatura Kit 3)</t>
        </is>
      </c>
      <c r="B29" s="77" t="n">
        <v>0.1</v>
      </c>
      <c r="C29" s="73" t="inlineStr">
        <is>
          <t>% de quem vê os upsells</t>
        </is>
      </c>
      <c r="D29" s="79" t="inlineStr">
        <is>
          <t>HIPÓTESE: substituir por dados reais</t>
        </is>
      </c>
      <c r="E29" s="69" t="inlineStr">
        <is>
          <t>Mesma base. O upsell 2 aparece depois do upsell 1, aceito ou recusado (components/checkout/UpsellOffer.tsx). Evento upsell_accepted com offer = subscription.</t>
        </is>
      </c>
    </row>
    <row r="30" ht="15" customHeight="1" s="67">
      <c r="A30" s="71" t="inlineStr">
        <is>
          <t>5. Retenção das assinaturas (só para o LTV)</t>
        </is>
      </c>
      <c r="B30" s="72" t="n"/>
      <c r="C30" s="72" t="n"/>
      <c r="D30" s="72" t="n"/>
      <c r="E30" s="72" t="n"/>
    </row>
    <row r="31" ht="28.5" customHeight="1" s="67">
      <c r="A31" s="73" t="inlineStr">
        <is>
          <t>Assinatura do plano — cobranças pagas por assinante (média, inclui a 1ª)</t>
        </is>
      </c>
      <c r="B31" s="83" t="n">
        <v>1</v>
      </c>
      <c r="C31" s="73" t="inlineStr">
        <is>
          <t>cobranças</t>
        </is>
      </c>
      <c r="D31" s="79" t="inlineStr">
        <is>
          <t>HIPÓTESE: substituir por dados reais</t>
        </is>
      </c>
      <c r="E31" s="69" t="inlineStr">
        <is>
          <t>1 = conta só a 1ª cobrança (conservador). Vale para os três planos (1 un. todo mês, Kit 3 a cada 3 meses, Kit 6 a cada 6 meses). Substituir pela média real do Stripe: faturas pagas por assinatura dos prices STRIPE_PRICE_*_SUB.</t>
        </is>
      </c>
    </row>
    <row r="32" ht="15" customHeight="1" s="67">
      <c r="A32" s="73" t="inlineStr">
        <is>
          <t>Upsell 2 — cobranças pagas por assinante (média, inclui a 1ª)</t>
        </is>
      </c>
      <c r="B32" s="83" t="n">
        <v>1</v>
      </c>
      <c r="C32" s="73" t="inlineStr">
        <is>
          <t>cobranças</t>
        </is>
      </c>
      <c r="D32" s="79" t="inlineStr">
        <is>
          <t>HIPÓTESE: substituir por dados reais</t>
        </is>
      </c>
      <c r="E32" s="69" t="inlineStr">
        <is>
          <t>Idem, price STRIPE_PRICE_UPSELL_SUB.</t>
        </is>
      </c>
    </row>
    <row r="33" ht="15" customHeight="1" s="67">
      <c r="A33" s="71" t="inlineStr">
        <is>
          <t>6. Custos variáveis — PREENCHER (vazio = as fórmulas mostram "preencha o custo")</t>
        </is>
      </c>
      <c r="B33" s="72" t="n"/>
      <c r="C33" s="72" t="n"/>
      <c r="D33" s="72" t="n"/>
      <c r="E33" s="72" t="n"/>
    </row>
    <row r="34" ht="28.5" customHeight="1" s="67">
      <c r="A34" s="73" t="inlineStr">
        <is>
          <t>Custo do produto por unidade (COGS)</t>
        </is>
      </c>
      <c r="B34" s="74" t="n"/>
      <c r="C34" s="73" t="inlineStr">
        <is>
          <t>US$ por unidade</t>
        </is>
      </c>
      <c r="D34" s="79" t="inlineStr">
        <is>
          <t>HIPÓTESE: substituir por dados reais</t>
        </is>
      </c>
      <c r="E34" s="69" t="inlineStr">
        <is>
          <t>VAZIO — preencher com o custo real por unidade entregue pelo fornecedor (produto + embalagem). Formato: só o número, em US$.</t>
        </is>
      </c>
    </row>
    <row r="35" ht="15" customHeight="1" s="67">
      <c r="A35" s="73" t="inlineStr">
        <is>
          <t>Frete por envio (pacote)</t>
        </is>
      </c>
      <c r="B35" s="74" t="n"/>
      <c r="C35" s="73" t="inlineStr">
        <is>
          <t>US$ por envio</t>
        </is>
      </c>
      <c r="D35" s="79" t="inlineStr">
        <is>
          <t>HIPÓTESE: substituir por dados reais</t>
        </is>
      </c>
      <c r="E35" s="69" t="inlineStr">
        <is>
          <t>VAZIO — preencher com o custo médio real de frete por pacote (com entrega em até 2 dias úteis). O frete é grátis para o cliente: todo esse custo é da empresa. Formato: só o número, em US$.</t>
        </is>
      </c>
    </row>
    <row r="36" ht="15" customHeight="1" s="67">
      <c r="A36" s="73" t="inlineStr">
        <is>
          <t>Separação e embalagem por envio (opcional)</t>
        </is>
      </c>
      <c r="B36" s="74" t="n"/>
      <c r="C36" s="73" t="inlineStr">
        <is>
          <t>US$ por envio</t>
        </is>
      </c>
      <c r="D36" s="79" t="inlineStr">
        <is>
          <t>HIPÓTESE: substituir por dados reais</t>
        </is>
      </c>
      <c r="E36" s="69" t="inlineStr">
        <is>
          <t>Opcional: taxa do operador logístico por pacote. Vazio = 0.</t>
        </is>
      </c>
    </row>
    <row r="37" ht="28.5" customHeight="1" s="67">
      <c r="A37" s="73" t="inlineStr">
        <is>
          <t>O upsell 1 sai em envio separado? (1 = sim, 0 = mesmo pacote)</t>
        </is>
      </c>
      <c r="B37" s="78" t="n">
        <v>1</v>
      </c>
      <c r="C37" s="73" t="inlineStr">
        <is>
          <t>chave 0/1</t>
        </is>
      </c>
      <c r="D37" s="79" t="inlineStr">
        <is>
          <t>HIPÓTESE: substituir por dados reais</t>
        </is>
      </c>
      <c r="E37" s="69" t="inlineStr">
        <is>
          <t>1 = conservador (um frete a mais). O order bump sempre vai no mesmo pacote do pedido. Cada renovação de assinatura (do plano ou do upsell 2) conta como um envio.</t>
        </is>
      </c>
    </row>
    <row r="38" ht="15" customHeight="1" s="67">
      <c r="A38" s="71" t="inlineStr">
        <is>
          <t>7. Pagamentos (Stripe, conta nos EUA)</t>
        </is>
      </c>
      <c r="B38" s="72" t="n"/>
      <c r="C38" s="72" t="n"/>
      <c r="D38" s="72" t="n"/>
      <c r="E38" s="72" t="n"/>
    </row>
    <row r="39" ht="15" customHeight="1" s="67">
      <c r="A39" s="73" t="inlineStr">
        <is>
          <t>Taxa percentual por cobrança de cartão</t>
        </is>
      </c>
      <c r="B39" s="77" t="n">
        <v>0.029</v>
      </c>
      <c r="C39" s="73" t="inlineStr">
        <is>
          <t>% do valor cobrado</t>
        </is>
      </c>
      <c r="D39" s="84" t="inlineStr">
        <is>
          <t>conferir</t>
        </is>
      </c>
      <c r="E39" s="69" t="inlineStr">
        <is>
          <t>Tarifa padrão de cartão nos EUA; confirmar na conta do cliente (Stripe → Settings → Pricing).</t>
        </is>
      </c>
    </row>
    <row r="40" ht="15" customHeight="1" s="67">
      <c r="A40" s="73" t="inlineStr">
        <is>
          <t>Taxa fixa por cobrança de cartão</t>
        </is>
      </c>
      <c r="B40" s="74" t="n">
        <v>0.3</v>
      </c>
      <c r="C40" s="73" t="inlineStr">
        <is>
          <t>US$ por cobrança</t>
        </is>
      </c>
      <c r="D40" s="84" t="inlineStr">
        <is>
          <t>conferir</t>
        </is>
      </c>
      <c r="E40" s="69" t="inlineStr">
        <is>
          <t>Cada cobrança paga a taxa fixa: o pedido, o upsell 1 e cada renovação das assinaturas.</t>
        </is>
      </c>
    </row>
    <row r="41" ht="15" customHeight="1" s="67">
      <c r="A41" s="73" t="inlineStr">
        <is>
          <t>Stripe Billing sobre o volume das assinaturas</t>
        </is>
      </c>
      <c r="B41" s="77" t="n">
        <v>0.007</v>
      </c>
      <c r="C41" s="73" t="inlineStr">
        <is>
          <t>% do valor da assinatura</t>
        </is>
      </c>
      <c r="D41" s="84" t="inlineStr">
        <is>
          <t>conferir</t>
        </is>
      </c>
      <c r="E41" s="69" t="inlineStr">
        <is>
          <t>Incide sobre as assinaturas do plano e do upsell 2; confirmar o plano de Billing da conta.</t>
        </is>
      </c>
    </row>
    <row r="42" ht="15" customHeight="1" s="67">
      <c r="A42" s="73" t="inlineStr">
        <is>
          <t>Adicional médio por cartão internacional / conversão de moeda</t>
        </is>
      </c>
      <c r="B42" s="77" t="n">
        <v>0</v>
      </c>
      <c r="C42" s="73" t="inlineStr">
        <is>
          <t>% da receita</t>
        </is>
      </c>
      <c r="D42" s="84" t="inlineStr">
        <is>
          <t>conferir</t>
        </is>
      </c>
      <c r="E42" s="69" t="inlineStr">
        <is>
          <t>0% = só vendas nos EUA em USD. Com a Europa (EUR, GBP, CHF, SEK…), conferir a tabela da conta e usar a média ponderada.</t>
        </is>
      </c>
    </row>
    <row r="43" ht="15" customHeight="1" s="67">
      <c r="A43" s="73" t="inlineStr">
        <is>
          <t>Taxa por disputa (chargeback)</t>
        </is>
      </c>
      <c r="B43" s="74" t="n">
        <v>15</v>
      </c>
      <c r="C43" s="73" t="inlineStr">
        <is>
          <t>US$ por disputa</t>
        </is>
      </c>
      <c r="D43" s="84" t="inlineStr">
        <is>
          <t>conferir</t>
        </is>
      </c>
      <c r="E43" s="69" t="inlineStr">
        <is>
          <t>Taxa cobrada pelo Stripe por disputa; confirmar na conta.</t>
        </is>
      </c>
    </row>
    <row r="44" ht="15" customHeight="1" s="67">
      <c r="A44" s="71" t="inlineStr">
        <is>
          <t>8. Reembolsos e disputas</t>
        </is>
      </c>
      <c r="B44" s="72" t="n"/>
      <c r="C44" s="72" t="n"/>
      <c r="D44" s="72" t="n"/>
      <c r="E44" s="72" t="n"/>
    </row>
    <row r="45" ht="28.5" customHeight="1" s="67">
      <c r="A45" s="73" t="inlineStr">
        <is>
          <t>Taxa de reembolso (garantia de 30 dias)</t>
        </is>
      </c>
      <c r="B45" s="77" t="n">
        <v>0.05</v>
      </c>
      <c r="C45" s="73" t="inlineStr">
        <is>
          <t>% da receita da 1ª compra</t>
        </is>
      </c>
      <c r="D45" s="79" t="inlineStr">
        <is>
          <t>HIPÓTESE: substituir por dados reais</t>
        </is>
      </c>
      <c r="E45" s="69" t="inlineStr">
        <is>
          <t>Modelo conservador: a taxa do Stripe não volta no reembolso e o produto não é recuperado (conferir). Medir no Stripe (Refunds); o webhook não grava reembolsos em orders.status.</t>
        </is>
      </c>
    </row>
    <row r="46" ht="15" customHeight="1" s="67">
      <c r="A46" s="73" t="inlineStr">
        <is>
          <t>Taxa de disputas</t>
        </is>
      </c>
      <c r="B46" s="77" t="n">
        <v>0.005</v>
      </c>
      <c r="C46" s="73" t="inlineStr">
        <is>
          <t>% dos pedidos</t>
        </is>
      </c>
      <c r="D46" s="79" t="inlineStr">
        <is>
          <t>HIPÓTESE: substituir por dados reais</t>
        </is>
      </c>
      <c r="E46" s="69" t="inlineStr">
        <is>
          <t>Cada disputa perde o valor do pedido + a taxa por disputa. Medir no Stripe (Disputes).</t>
        </is>
      </c>
    </row>
    <row r="47" ht="15" customHeight="1" s="67">
      <c r="A47" s="71" t="inlineStr">
        <is>
          <t>9. Meta financeira</t>
        </is>
      </c>
      <c r="B47" s="72" t="n"/>
      <c r="C47" s="72" t="n"/>
      <c r="D47" s="72" t="n"/>
      <c r="E47" s="72" t="n"/>
    </row>
    <row r="48" ht="15" customHeight="1" s="67">
      <c r="A48" s="73" t="inlineStr">
        <is>
          <t>Margem-alvo depois da mídia</t>
        </is>
      </c>
      <c r="B48" s="77" t="n">
        <v>0.2</v>
      </c>
      <c r="C48" s="73" t="inlineStr">
        <is>
          <t>% da receita líquida</t>
        </is>
      </c>
      <c r="D48" s="79" t="inlineStr">
        <is>
          <t>HIPÓTESE: substituir por dados reais</t>
        </is>
      </c>
      <c r="E48" s="69" t="inlineStr">
        <is>
          <t>Quanto deve sobrar por comprador depois de pagar a mídia. Usada no CPA alvo, ROAS alvo e CPC alvo.</t>
        </is>
      </c>
    </row>
    <row r="49" ht="15" customHeight="1" s="67">
      <c r="A49" s="71" t="inlineStr">
        <is>
          <t>10. Funil — taxa de cada etapa (aba Funil)</t>
        </is>
      </c>
      <c r="B49" s="72" t="n"/>
      <c r="C49" s="72" t="n"/>
      <c r="D49" s="72" t="n"/>
      <c r="E49" s="72" t="n"/>
    </row>
    <row r="50" ht="15" customHeight="1" s="67">
      <c r="A50" s="73" t="inlineStr">
        <is>
          <t>Visitantes na base de cálculo</t>
        </is>
      </c>
      <c r="B50" s="76" t="n">
        <v>1000</v>
      </c>
      <c r="C50" s="73" t="inlineStr">
        <is>
          <t>visitantes</t>
        </is>
      </c>
      <c r="D50" s="69" t="inlineStr">
        <is>
          <t>base de cálculo (não é premissa)</t>
        </is>
      </c>
      <c r="E50" s="69" t="inlineStr">
        <is>
          <t>O funil é mostrado por 1.000 visitantes; mudar a base não muda os valores por visitante.</t>
        </is>
      </c>
    </row>
    <row r="51" ht="15" customHeight="1" s="67">
      <c r="A51" s="73" t="inlineStr">
        <is>
          <t>Clique no link → visita na landing</t>
        </is>
      </c>
      <c r="B51" s="77" t="n">
        <v>0.8</v>
      </c>
      <c r="C51" s="73" t="inlineStr">
        <is>
          <t>% dos cliques</t>
        </is>
      </c>
      <c r="D51" s="79" t="inlineStr">
        <is>
          <t>HIPÓTESE: substituir por dados reais</t>
        </is>
      </c>
      <c r="E51" s="69" t="inlineStr">
        <is>
          <t>Meta: Landing page views ÷ Link clicks. Usada só para converter custo por visita em CPC.</t>
        </is>
      </c>
    </row>
    <row r="52" ht="15" customHeight="1" s="67">
      <c r="A52" s="73" t="inlineStr">
        <is>
          <t>Visitante → início do quiz (quiz_start)</t>
        </is>
      </c>
      <c r="B52" s="77" t="n">
        <v>0.6</v>
      </c>
      <c r="C52" s="73" t="inlineStr">
        <is>
          <t>% dos visitantes</t>
        </is>
      </c>
      <c r="D52" s="79" t="inlineStr">
        <is>
          <t>HIPÓTESE: substituir por dados reais</t>
        </is>
      </c>
      <c r="E52" s="69" t="inlineStr">
        <is>
          <t>quiz_start dispara ao abrir a 1ª pergunta (components/quiz/QuizFlow.tsx); a home redireciona para /quiz.</t>
        </is>
      </c>
    </row>
    <row r="53" ht="15" customHeight="1" s="67">
      <c r="A53" s="73" t="inlineStr">
        <is>
          <t>Início → quiz concluído (quiz_complete)</t>
        </is>
      </c>
      <c r="B53" s="77" t="n">
        <v>0.5</v>
      </c>
      <c r="C53" s="73" t="inlineStr">
        <is>
          <t>% de quem iniciou</t>
        </is>
      </c>
      <c r="D53" s="79" t="inlineStr">
        <is>
          <t>HIPÓTESE: substituir por dados reais</t>
        </is>
      </c>
      <c r="E53" s="69" t="inlineStr">
        <is>
          <t>8 perguntas + etapa de contato opcional.</t>
        </is>
      </c>
    </row>
    <row r="54" ht="15" customHeight="1" s="67">
      <c r="A54" s="73" t="inlineStr">
        <is>
          <t>Quiz concluído → oferta vista (view_offer)</t>
        </is>
      </c>
      <c r="B54" s="77" t="n">
        <v>0.85</v>
      </c>
      <c r="C54" s="73" t="inlineStr">
        <is>
          <t>% de quem concluiu</t>
        </is>
      </c>
      <c r="D54" s="79" t="inlineStr">
        <is>
          <t>HIPÓTESE: substituir por dados reais</t>
        </is>
      </c>
      <c r="E54" s="69" t="inlineStr">
        <is>
          <t>Passa por /analyzing antes de /offer.</t>
        </is>
      </c>
    </row>
    <row r="55" ht="15" customHeight="1" s="67">
      <c r="A55" s="73" t="inlineStr">
        <is>
          <t>Oferta vista → início do checkout (begin_checkout)</t>
        </is>
      </c>
      <c r="B55" s="77" t="n">
        <v>0.15</v>
      </c>
      <c r="C55" s="73" t="inlineStr">
        <is>
          <t>% de quem viu a oferta</t>
        </is>
      </c>
      <c r="D55" s="79" t="inlineStr">
        <is>
          <t>HIPÓTESE: substituir por dados reais</t>
        </is>
      </c>
      <c r="E55" s="69" t="n"/>
    </row>
    <row r="56" ht="23.85" customHeight="1" s="67">
      <c r="A56" s="73" t="inlineStr">
        <is>
          <t>Início do checkout → compra (purchase)</t>
        </is>
      </c>
      <c r="B56" s="77" t="n">
        <v>0.4</v>
      </c>
      <c r="C56" s="73" t="inlineStr">
        <is>
          <t>% de quem iniciou o checkout</t>
        </is>
      </c>
      <c r="D56" s="79" t="inlineStr">
        <is>
          <t>HIPÓTESE: substituir por dados reais</t>
        </is>
      </c>
      <c r="E56" s="69" t="inlineStr">
        <is>
          <t>Contar compras pelo Stripe/Supabase: o evento purchase só dispara em /thank-you, depois dos upsells.</t>
        </is>
      </c>
    </row>
    <row r="57" ht="15" customHeight="1" s="67">
      <c r="A57" s="71" t="inlineStr">
        <is>
          <t>11. Metas de monitoramento (aba KPIs)</t>
        </is>
      </c>
      <c r="B57" s="72" t="n"/>
      <c r="C57" s="72" t="n"/>
      <c r="D57" s="72" t="n"/>
      <c r="E57" s="72" t="n"/>
    </row>
    <row r="58" ht="15" customHeight="1" s="67">
      <c r="A58" s="73" t="inlineStr">
        <is>
          <t>Meta de CTR do link</t>
        </is>
      </c>
      <c r="B58" s="77" t="n">
        <v>0.01</v>
      </c>
      <c r="C58" s="73" t="inlineStr">
        <is>
          <t>% das impressões</t>
        </is>
      </c>
      <c r="D58" s="79" t="inlineStr">
        <is>
          <t>HIPÓTESE: substituir por dados reais</t>
        </is>
      </c>
      <c r="E58" s="69" t="inlineStr">
        <is>
          <t>Meta/TikTok Ads Manager.</t>
        </is>
      </c>
    </row>
    <row r="59" ht="28.5" customHeight="1" s="67">
      <c r="A59" s="73" t="inlineStr">
        <is>
          <t>Meta de cobertura do rastreamento</t>
        </is>
      </c>
      <c r="B59" s="77" t="n">
        <v>0.8</v>
      </c>
      <c r="C59" s="73" t="inlineStr">
        <is>
          <t>% dos pedidos pagos</t>
        </is>
      </c>
      <c r="D59" s="79" t="inlineStr">
        <is>
          <t>HIPÓTESE: substituir por dados reais</t>
        </is>
      </c>
      <c r="E59" s="69" t="inlineStr">
        <is>
          <t>Eventos Purchase do Pixel ÷ pedidos pagos no Stripe. Perde-se por recusa de cookies (scripts só carregam após consentimento) e por quem fecha a página durante os upsells.</t>
        </is>
      </c>
    </row>
    <row r="60" ht="15" customHeight="1" s="67">
      <c r="A60" s="73" t="inlineStr">
        <is>
          <t>Meta de captura de e-mail no quiz</t>
        </is>
      </c>
      <c r="B60" s="77" t="n">
        <v>0.3</v>
      </c>
      <c r="C60" s="73" t="inlineStr">
        <is>
          <t>% das respostas do quiz</t>
        </is>
      </c>
      <c r="D60" s="79" t="inlineStr">
        <is>
          <t>HIPÓTESE: substituir por dados reais</t>
        </is>
      </c>
      <c r="E60" s="69" t="inlineStr">
        <is>
          <t>quiz_responses com e-mail ÷ quiz_responses (a etapa de contato é opcional).</t>
        </is>
      </c>
    </row>
    <row r="61" ht="15" customHeight="1" s="67">
      <c r="A61" s="73" t="inlineStr">
        <is>
          <t>Alerta de KPI "maior melhor": abaixo de X% da meta</t>
        </is>
      </c>
      <c r="B61" s="77" t="n">
        <v>0.8</v>
      </c>
      <c r="C61" s="73" t="inlineStr">
        <is>
          <t>% da meta</t>
        </is>
      </c>
      <c r="D61" s="79" t="inlineStr">
        <is>
          <t>HIPÓTESE: substituir por dados reais</t>
        </is>
      </c>
      <c r="E61" s="69" t="inlineStr">
        <is>
          <t>Ex.: 80% → alerta quando o valor medido fica abaixo de 80% da meta.</t>
        </is>
      </c>
    </row>
    <row r="62" ht="15" customHeight="1" s="67">
      <c r="A62" s="73" t="inlineStr">
        <is>
          <t>Alerta de KPI "menor melhor": acima de X% da meta</t>
        </is>
      </c>
      <c r="B62" s="77" t="n">
        <v>1.2</v>
      </c>
      <c r="C62" s="73" t="inlineStr">
        <is>
          <t>% da meta</t>
        </is>
      </c>
      <c r="D62" s="79" t="inlineStr">
        <is>
          <t>HIPÓTESE: substituir por dados reais</t>
        </is>
      </c>
      <c r="E62" s="69" t="inlineStr">
        <is>
          <t>Ex.: 120% → alerta quando o valor medido passa de 120% da meta.</t>
        </is>
      </c>
    </row>
    <row r="63">
      <c r="A63" s="71" t="inlineStr">
        <is>
          <t>12. Assinatura opcional (todos os planos)</t>
        </is>
      </c>
      <c r="B63" s="72" t="n"/>
      <c r="C63" s="72" t="n"/>
      <c r="D63" s="72" t="n"/>
      <c r="E63" s="72" t="n"/>
    </row>
    <row r="64" ht="28.5" customHeight="1" s="67">
      <c r="A64" s="73" t="inlineStr">
        <is>
          <t>% dos pedidos que escolhem assinatura</t>
        </is>
      </c>
      <c r="B64" s="77" t="n">
        <v>0.3</v>
      </c>
      <c r="C64" s="73" t="inlineStr">
        <is>
          <t>% dos pedidos</t>
        </is>
      </c>
      <c r="D64" s="79" t="inlineStr">
        <is>
          <t>HIPÓTESE: substituir por dados reais</t>
        </is>
      </c>
      <c r="E64" s="69" t="inlineStr">
        <is>
          <t>Seletor "Compra única / Assinatura" na oferta e no carrinho (mesmo preço). Medir no Stripe: Checkout Sessions em mode subscription ÷ todas as pagas. Supõe a mesma taxa em todos os planos.</t>
        </is>
      </c>
    </row>
  </sheetData>
  <mergeCells count="1">
    <mergeCell ref="A2:E2"/>
  </mergeCells>
  <dataValidations count="5">
    <dataValidation sqref="B19 B21 B23:B25 B27:B29 B39 B41:B42 B45:B46 B48 B51:B56 B58:B60" showDropDown="0" showInputMessage="0" showErrorMessage="0" allowBlank="1" errorTitle="Percentual" error="Use uma fração entre 0 e 1 (ex.: 0,25 = 25%)." type="decimal" errorStyle="stop" operator="between">
      <formula1>0</formula1>
      <formula2>1</formula2>
    </dataValidation>
    <dataValidation sqref="B20 B37" showDropDown="0" showInputMessage="0" showErrorMessage="0" allowBlank="0" errorTitle="Chave 0/1" error="Use 0 ou 1." type="list" errorStyle="stop" operator="between">
      <formula1>"0,1"</formula1>
      <formula2>0</formula2>
    </dataValidation>
    <dataValidation sqref="B34:B36 B40 B43" showDropDown="0" showInputMessage="0" showErrorMessage="0" allowBlank="1" errorTitle="Valor em US$" error="Valor em US$, maior ou igual a zero." type="decimal" errorStyle="stop" operator="greaterThanOrEqual">
      <formula1>0</formula1>
      <formula2>0</formula2>
    </dataValidation>
    <dataValidation sqref="B31:B32" showDropDown="0" showInputMessage="0" showErrorMessage="0" allowBlank="0" errorTitle="Cobranças" error="Mínimo 1 (a 1ª cobrança)." type="decimal" errorStyle="stop" operator="greaterThanOrEqual">
      <formula1>1</formula1>
      <formula2>0</formula2>
    </dataValidation>
    <dataValidation sqref="B61:B62" showDropDown="0" showInputMessage="0" showErrorMessage="0" allowBlank="0" type="decimal" errorStyle="stop" operator="between">
      <formula1>0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8" customWidth="1" style="66" min="1" max="1"/>
    <col width="16" customWidth="1" style="66" min="2" max="2"/>
    <col width="20" customWidth="1" style="66" min="3" max="3"/>
    <col width="78" customWidth="1" style="66" min="4" max="4"/>
    <col width="3" customWidth="1" style="66" min="5" max="5"/>
    <col width="30" customWidth="1" style="66" min="6" max="6"/>
    <col width="11" customWidth="1" style="66" min="7" max="7"/>
    <col width="10" customWidth="1" style="66" min="8" max="8"/>
    <col width="13" customWidth="1" style="66" min="9" max="9"/>
    <col width="14" customWidth="1" style="66" min="10" max="10"/>
    <col width="13" customWidth="1" style="66" min="11" max="12"/>
    <col width="11" customWidth="1" style="66" min="13" max="13"/>
  </cols>
  <sheetData>
    <row r="1" ht="17.35" customHeight="1" s="67">
      <c r="A1" s="68" t="inlineStr">
        <is>
          <t>VitalRise — Unit economics por comprador (USD)</t>
        </is>
      </c>
      <c r="F1" s="85" t="inlineStr">
        <is>
          <t>Margem por produto (1 cobrança, sem cupom, reembolso ou disputa)</t>
        </is>
      </c>
    </row>
    <row r="2" ht="27.75" customHeight="1" s="67">
      <c r="A2" s="69" t="inlineStr">
        <is>
          <t>Base: 1 comprador = 1 pedido pago no checkout. Assinaturas entram só com a 1ª cobrança; a recorrência fica na seção 4 (LTV). Nenhum número aqui é digitado: tudo vem da aba Premissas.</t>
        </is>
      </c>
    </row>
    <row r="3" ht="30" customHeight="1" s="67">
      <c r="A3" s="70" t="inlineStr">
        <is>
          <t>Indicador</t>
        </is>
      </c>
      <c r="B3" s="70" t="inlineStr">
        <is>
          <t>Valor</t>
        </is>
      </c>
      <c r="C3" s="70" t="inlineStr">
        <is>
          <t>Unidade</t>
        </is>
      </c>
      <c r="D3" s="70" t="inlineStr">
        <is>
          <t>Como é calculado</t>
        </is>
      </c>
      <c r="F3" s="70" t="inlineStr">
        <is>
          <t>Produto</t>
        </is>
      </c>
      <c r="G3" s="70" t="inlineStr">
        <is>
          <t>Preço</t>
        </is>
      </c>
      <c r="H3" s="70" t="inlineStr">
        <is>
          <t>Unidades</t>
        </is>
      </c>
      <c r="I3" s="70" t="inlineStr">
        <is>
          <t>COGS</t>
        </is>
      </c>
      <c r="J3" s="70" t="inlineStr">
        <is>
          <t>Frete + separação</t>
        </is>
      </c>
      <c r="K3" s="70" t="inlineStr">
        <is>
          <t>Taxas Stripe</t>
        </is>
      </c>
      <c r="L3" s="70" t="inlineStr">
        <is>
          <t>Margem</t>
        </is>
      </c>
      <c r="M3" s="70" t="inlineStr">
        <is>
          <t>Margem %</t>
        </is>
      </c>
    </row>
    <row r="4" ht="28.5" customHeight="1" s="67">
      <c r="A4" s="86" t="inlineStr">
        <is>
          <t>Custos preenchidos?</t>
        </is>
      </c>
      <c r="B4" s="87">
        <f>IF(AND(ISNUMBER(Premissas!$B$34),ISNUMBER(Premissas!$B$35)),"sim","não — preencha o custo do produto e o frete na aba Premissas")</f>
        <v/>
      </c>
      <c r="C4" s="88" t="n"/>
      <c r="D4" s="89" t="inlineStr">
        <is>
          <t>Enquanto o custo do produto (COGS) ou o frete estiverem vazios, os resultados que dependem deles mostram "preencha o custo" em vez de um número enganoso.</t>
        </is>
      </c>
      <c r="F4" s="90" t="inlineStr">
        <is>
          <t>1 unidade</t>
        </is>
      </c>
      <c r="G4" s="91">
        <f>Premissas!$B$5</f>
        <v/>
      </c>
      <c r="H4" s="92">
        <f>Premissas!$B$12</f>
        <v/>
      </c>
      <c r="I4" s="93">
        <f>IF(ISNUMBER(Premissas!$B$34),H4*Premissas!$B$34,"preencha o custo")</f>
        <v/>
      </c>
      <c r="J4" s="93">
        <f>IF(ISNUMBER(Premissas!$B$35),1*(Premissas!$B$35+N(Premissas!$B$36)),"preencha o custo")</f>
        <v/>
      </c>
      <c r="K4" s="93">
        <f>G4*(Premissas!$B$39+Premissas!$B$42)+1*Premissas!$B$40</f>
        <v/>
      </c>
      <c r="L4" s="94">
        <f>IF(AND(ISNUMBER(I4),ISNUMBER(J4)),G4-I4-J4-K4,"preencha o custo")</f>
        <v/>
      </c>
      <c r="M4" s="95">
        <f>IF(ISNUMBER(L4),IF(G4&gt;0,L4/G4,0),"preencha o custo")</f>
        <v/>
      </c>
    </row>
    <row r="5" ht="15" customHeight="1" s="67">
      <c r="A5" s="73" t="inlineStr">
        <is>
          <t>Mix de planos soma 100%?</t>
        </is>
      </c>
      <c r="B5" s="96">
        <f>IF(ABS(Premissas!$B$26-1)&lt;0.0001,"sim","não — ajuste o mix na aba Premissas")</f>
        <v/>
      </c>
      <c r="C5" s="80" t="n"/>
      <c r="D5" s="69" t="inlineStr">
        <is>
          <t>Checagem do mix de planos.</t>
        </is>
      </c>
      <c r="F5" s="90" t="inlineStr">
        <is>
          <t>Kit 3</t>
        </is>
      </c>
      <c r="G5" s="91">
        <f>Premissas!$B$6</f>
        <v/>
      </c>
      <c r="H5" s="92">
        <f>Premissas!$B$13</f>
        <v/>
      </c>
      <c r="I5" s="93">
        <f>IF(ISNUMBER(Premissas!$B$34),H5*Premissas!$B$34,"preencha o custo")</f>
        <v/>
      </c>
      <c r="J5" s="93">
        <f>IF(ISNUMBER(Premissas!$B$35),1*(Premissas!$B$35+N(Premissas!$B$36)),"preencha o custo")</f>
        <v/>
      </c>
      <c r="K5" s="93">
        <f>G5*(Premissas!$B$39+Premissas!$B$42)+1*Premissas!$B$40</f>
        <v/>
      </c>
      <c r="L5" s="94">
        <f>IF(AND(ISNUMBER(I5),ISNUMBER(J5)),G5-I5-J5-K5,"preencha o custo")</f>
        <v/>
      </c>
      <c r="M5" s="95">
        <f>IF(ISNUMBER(L5),IF(G5&gt;0,L5/G5,0),"preencha o custo")</f>
        <v/>
      </c>
    </row>
    <row r="6" ht="15" customHeight="1" s="67">
      <c r="A6" s="71" t="inlineStr">
        <is>
          <t>1. Receita da 1ª compra (por comprador)</t>
        </is>
      </c>
      <c r="B6" s="72" t="n"/>
      <c r="C6" s="72" t="n"/>
      <c r="D6" s="72" t="n"/>
      <c r="F6" s="90" t="inlineStr">
        <is>
          <t>Kit 6</t>
        </is>
      </c>
      <c r="G6" s="91">
        <f>Premissas!$B$7</f>
        <v/>
      </c>
      <c r="H6" s="92">
        <f>Premissas!$B$14</f>
        <v/>
      </c>
      <c r="I6" s="93">
        <f>IF(ISNUMBER(Premissas!$B$34),H6*Premissas!$B$34,"preencha o custo")</f>
        <v/>
      </c>
      <c r="J6" s="93">
        <f>IF(ISNUMBER(Premissas!$B$35),1*(Premissas!$B$35+N(Premissas!$B$36)),"preencha o custo")</f>
        <v/>
      </c>
      <c r="K6" s="93">
        <f>G6*(Premissas!$B$39+Premissas!$B$42)+1*Premissas!$B$40</f>
        <v/>
      </c>
      <c r="L6" s="94">
        <f>IF(AND(ISNUMBER(I6),ISNUMBER(J6)),G6-I6-J6-K6,"preencha o custo")</f>
        <v/>
      </c>
      <c r="M6" s="95">
        <f>IF(ISNUMBER(L6),IF(G6&gt;0,L6/G6,0),"preencha o custo")</f>
        <v/>
      </c>
    </row>
    <row r="7" ht="15" customHeight="1" s="67">
      <c r="A7" s="73" t="inlineStr">
        <is>
          <t>Preço médio do plano (pelo mix)</t>
        </is>
      </c>
      <c r="B7" s="97">
        <f>Premissas!$B$23*Premissas!$B$5+Premissas!$B$24*Premissas!$B$6+Premissas!$B$25*Premissas!$B$7</f>
        <v/>
      </c>
      <c r="C7" s="80" t="inlineStr">
        <is>
          <t>US$ por comprador</t>
        </is>
      </c>
      <c r="D7" s="69" t="inlineStr">
        <is>
          <t>Σ (participação no mix × preço). O preço é o mesmo na compra única e na assinatura.</t>
        </is>
      </c>
      <c r="F7" s="90" t="inlineStr">
        <is>
          <t>Order bump (mesmo pacote)</t>
        </is>
      </c>
      <c r="G7" s="91">
        <f>Premissas!$B$8</f>
        <v/>
      </c>
      <c r="H7" s="92">
        <f>Premissas!$B$15</f>
        <v/>
      </c>
      <c r="I7" s="93">
        <f>IF(ISNUMBER(Premissas!$B$34),H7*Premissas!$B$34,"preencha o custo")</f>
        <v/>
      </c>
      <c r="J7" s="93">
        <f>IF(ISNUMBER(Premissas!$B$35),0*(Premissas!$B$35+N(Premissas!$B$36)),"preencha o custo")</f>
        <v/>
      </c>
      <c r="K7" s="93">
        <f>G7*(Premissas!$B$39+Premissas!$B$42)+0*Premissas!$B$40</f>
        <v/>
      </c>
      <c r="L7" s="94">
        <f>IF(AND(ISNUMBER(I7),ISNUMBER(J7)),G7-I7-J7-K7,"preencha o custo")</f>
        <v/>
      </c>
      <c r="M7" s="95">
        <f>IF(ISNUMBER(L7),IF(G7&gt;0,L7/G7,0),"preencha o custo")</f>
        <v/>
      </c>
    </row>
    <row r="8" ht="15" customHeight="1" s="67">
      <c r="A8" s="73" t="inlineStr">
        <is>
          <t>Receita do order bump</t>
        </is>
      </c>
      <c r="B8" s="97">
        <f>Premissas!$B$27*Premissas!$B$8</f>
        <v/>
      </c>
      <c r="C8" s="80" t="inlineStr">
        <is>
          <t>US$ por comprador</t>
        </is>
      </c>
      <c r="D8" s="69" t="inlineStr">
        <is>
          <t>Take rate do bump × preço do bump.</t>
        </is>
      </c>
      <c r="F8" s="90" t="inlineStr">
        <is>
          <t>Upsell 1 — Kit 6 único</t>
        </is>
      </c>
      <c r="G8" s="91">
        <f>Premissas!$B$9</f>
        <v/>
      </c>
      <c r="H8" s="92">
        <f>Premissas!$B$16</f>
        <v/>
      </c>
      <c r="I8" s="93">
        <f>IF(ISNUMBER(Premissas!$B$34),H8*Premissas!$B$34,"preencha o custo")</f>
        <v/>
      </c>
      <c r="J8" s="93">
        <f>IF(ISNUMBER(Premissas!$B$35),Premissas!$B$37*(Premissas!$B$35+N(Premissas!$B$36)),"preencha o custo")</f>
        <v/>
      </c>
      <c r="K8" s="93">
        <f>G8*(Premissas!$B$39+Premissas!$B$42)+1*Premissas!$B$40</f>
        <v/>
      </c>
      <c r="L8" s="94">
        <f>IF(AND(ISNUMBER(I8),ISNUMBER(J8)),G8-I8-J8-K8,"preencha o custo")</f>
        <v/>
      </c>
      <c r="M8" s="95">
        <f>IF(ISNUMBER(L8),IF(G8&gt;0,L8/G8,0),"preencha o custo")</f>
        <v/>
      </c>
    </row>
    <row r="9" ht="15" customHeight="1" s="67">
      <c r="A9" s="73" t="inlineStr">
        <is>
          <t>Subtotal do checkout antes do cupom</t>
        </is>
      </c>
      <c r="B9" s="97">
        <f>$B$7+$B$8</f>
        <v/>
      </c>
      <c r="C9" s="80" t="inlineStr">
        <is>
          <t>US$ por comprador</t>
        </is>
      </c>
      <c r="D9" s="69" t="inlineStr">
        <is>
          <t>Plano médio + bump.</t>
        </is>
      </c>
      <c r="F9" s="90" t="inlineStr">
        <is>
          <t>Upsell 2 — Kit 3 (cada cobrança)</t>
        </is>
      </c>
      <c r="G9" s="91">
        <f>Premissas!$B$10</f>
        <v/>
      </c>
      <c r="H9" s="92">
        <f>Premissas!$B$17</f>
        <v/>
      </c>
      <c r="I9" s="93">
        <f>IF(ISNUMBER(Premissas!$B$34),H9*Premissas!$B$34,"preencha o custo")</f>
        <v/>
      </c>
      <c r="J9" s="93">
        <f>IF(ISNUMBER(Premissas!$B$35),1*(Premissas!$B$35+N(Premissas!$B$36)),"preencha o custo")</f>
        <v/>
      </c>
      <c r="K9" s="93">
        <f>G9*(Premissas!$B$39+Premissas!$B$42+Premissas!$B$41)+1*Premissas!$B$40</f>
        <v/>
      </c>
      <c r="L9" s="94">
        <f>IF(AND(ISNUMBER(I9),ISNUMBER(J9)),G9-I9-J9-K9,"preencha o custo")</f>
        <v/>
      </c>
      <c r="M9" s="95">
        <f>IF(ISNUMBER(L9),IF(G9&gt;0,L9/G9,0),"preencha o custo")</f>
        <v/>
      </c>
    </row>
    <row r="10" ht="15" customHeight="1" s="67">
      <c r="A10" s="73" t="inlineStr">
        <is>
          <t>(−) Desconto do cupom VITAL10</t>
        </is>
      </c>
      <c r="B10" s="97">
        <f>Premissas!$B$21*Premissas!$B$19*($B$7+Premissas!$B$20*$B$8)</f>
        <v/>
      </c>
      <c r="C10" s="80" t="inlineStr">
        <is>
          <t>US$ por comprador</t>
        </is>
      </c>
      <c r="D10" s="69" t="inlineStr">
        <is>
          <t>% de pedidos com cupom × 10% × (plano + bump, se o cupom incidir no bump).</t>
        </is>
      </c>
      <c r="F10" s="69" t="inlineStr">
        <is>
          <t>O bump não paga frete nem taxa fixa (vai no mesmo pacote e na mesma cobrança). Na assinatura soma-se o Stripe Billing (Premissas B41). Margem negativa no produto de 1 unidade é comum quando o frete (grátis para o cliente) é alto — confira com os custos reais.</t>
        </is>
      </c>
    </row>
    <row r="11" ht="28.5" customHeight="1" s="67">
      <c r="A11" s="86" t="inlineStr">
        <is>
          <t>Ticket médio do pedido (AOV)</t>
        </is>
      </c>
      <c r="B11" s="98">
        <f>$B$9-$B$10</f>
        <v/>
      </c>
      <c r="C11" s="88" t="inlineStr">
        <is>
          <t>US$ por pedido</t>
        </is>
      </c>
      <c r="D11" s="89" t="inlineStr">
        <is>
          <t>Valor cobrado no checkout. É o que vai em orders.amount_cents e no value do evento purchase.</t>
        </is>
      </c>
    </row>
    <row r="12" ht="15" customHeight="1" s="67">
      <c r="A12" s="73" t="inlineStr">
        <is>
          <t>Compradores que veem os upsells (compra única de 1 unidade ou Kit 3)</t>
        </is>
      </c>
      <c r="B12" s="99">
        <f>(Premissas!$B$23+Premissas!$B$24)*(1-Premissas!$B$64)</f>
        <v/>
      </c>
      <c r="C12" s="80" t="inlineStr">
        <is>
          <t>% dos compradores</t>
        </is>
      </c>
      <c r="D12" s="69" t="inlineStr">
        <is>
          <t>Quem assina qualquer plano ou compra o Kit 6 pula os upsells (success_url vai direto para /thank-you).</t>
        </is>
      </c>
    </row>
    <row r="13" ht="15" customHeight="1" s="67">
      <c r="A13" s="73" t="inlineStr">
        <is>
          <t>Receita do upsell 1 (Kit 6 único)</t>
        </is>
      </c>
      <c r="B13" s="97">
        <f>$B$12*Premissas!$B$28*Premissas!$B$9</f>
        <v/>
      </c>
      <c r="C13" s="80" t="inlineStr">
        <is>
          <t>US$ por comprador</t>
        </is>
      </c>
      <c r="D13" s="69" t="inlineStr">
        <is>
          <t>% que vê os upsells × take rate do upsell 1 × preço.</t>
        </is>
      </c>
    </row>
    <row r="14" ht="15" customHeight="1" s="67">
      <c r="A14" s="73" t="inlineStr">
        <is>
          <t>Receita do upsell 2 (1ª cobrança da assinatura)</t>
        </is>
      </c>
      <c r="B14" s="97">
        <f>$B$12*Premissas!$B$29*Premissas!$B$10</f>
        <v/>
      </c>
      <c r="C14" s="80" t="inlineStr">
        <is>
          <t>US$ por comprador</t>
        </is>
      </c>
      <c r="D14" s="69" t="inlineStr">
        <is>
          <t>% que vê os upsells × take rate do upsell 2 × preço da cobrança (a cada 3 meses).</t>
        </is>
      </c>
    </row>
    <row r="15" ht="15" customHeight="1" s="67">
      <c r="A15" s="86" t="inlineStr">
        <is>
          <t>Receita bruta por comprador (1ª compra)</t>
        </is>
      </c>
      <c r="B15" s="98">
        <f>$B$11+$B$13+$B$14</f>
        <v/>
      </c>
      <c r="C15" s="88" t="inlineStr">
        <is>
          <t>US$ por comprador</t>
        </is>
      </c>
      <c r="D15" s="89" t="inlineStr">
        <is>
          <t>Pedido + upsells (1ª cobrança). É a receita que aparece no Stripe.</t>
        </is>
      </c>
    </row>
    <row r="16" ht="15" customHeight="1" s="67">
      <c r="A16" s="73" t="inlineStr">
        <is>
          <t>(−) Reembolsos</t>
        </is>
      </c>
      <c r="B16" s="97">
        <f>Premissas!$B$45*$B$15</f>
        <v/>
      </c>
      <c r="C16" s="80" t="inlineStr">
        <is>
          <t>US$ por comprador</t>
        </is>
      </c>
      <c r="D16" s="69" t="inlineStr">
        <is>
          <t>Taxa de reembolso × receita bruta.</t>
        </is>
      </c>
    </row>
    <row r="17" ht="15" customHeight="1" s="67">
      <c r="A17" s="73" t="inlineStr">
        <is>
          <t>(−) Valores perdidos em disputas</t>
        </is>
      </c>
      <c r="B17" s="97">
        <f>Premissas!$B$46*$B$11</f>
        <v/>
      </c>
      <c r="C17" s="80" t="inlineStr">
        <is>
          <t>US$ por comprador</t>
        </is>
      </c>
      <c r="D17" s="69" t="inlineStr">
        <is>
          <t>Taxa de disputas × ticket médio.</t>
        </is>
      </c>
    </row>
    <row r="18" ht="15" customHeight="1" s="67">
      <c r="A18" s="86" t="inlineStr">
        <is>
          <t>Receita líquida por comprador</t>
        </is>
      </c>
      <c r="B18" s="98">
        <f>$B$15-$B$16-$B$17</f>
        <v/>
      </c>
      <c r="C18" s="88" t="inlineStr">
        <is>
          <t>US$ por comprador</t>
        </is>
      </c>
      <c r="D18" s="89" t="inlineStr">
        <is>
          <t>Receita bruta − reembolsos − disputas.</t>
        </is>
      </c>
    </row>
    <row r="19" ht="15" customHeight="1" s="67">
      <c r="A19" s="71" t="inlineStr">
        <is>
          <t>2. Custos variáveis por comprador (1ª compra)</t>
        </is>
      </c>
      <c r="B19" s="72" t="n"/>
      <c r="C19" s="72" t="n"/>
      <c r="D19" s="72" t="n"/>
    </row>
    <row r="20" ht="15" customHeight="1" s="67">
      <c r="A20" s="73" t="inlineStr">
        <is>
          <t>Unidades enviadas por comprador</t>
        </is>
      </c>
      <c r="B20" s="100">
        <f>Premissas!$B$23*Premissas!$B$12+Premissas!$B$24*Premissas!$B$13+Premissas!$B$25*Premissas!$B$14+Premissas!$B$27*Premissas!$B$15+$B$12*Premissas!$B$28*Premissas!$B$16+$B$12*Premissas!$B$29*Premissas!$B$17</f>
        <v/>
      </c>
      <c r="C20" s="80" t="inlineStr">
        <is>
          <t>unidades</t>
        </is>
      </c>
      <c r="D20" s="69" t="inlineStr">
        <is>
          <t>Plano + bump + upsells (1ª entrega da assinatura do upsell 2).</t>
        </is>
      </c>
    </row>
    <row r="21" ht="15" customHeight="1" s="67">
      <c r="A21" s="73" t="inlineStr">
        <is>
          <t>Envios por comprador</t>
        </is>
      </c>
      <c r="B21" s="100">
        <f>1+$B$12*Premissas!$B$28*Premissas!$B$37+$B$12*Premissas!$B$29</f>
        <v/>
      </c>
      <c r="C21" s="80" t="inlineStr">
        <is>
          <t>envios</t>
        </is>
      </c>
      <c r="D21" s="69" t="inlineStr">
        <is>
          <t>1 pacote do pedido (com o bump) + upsell 1 se for separado + 1ª entrega do upsell 2.</t>
        </is>
      </c>
    </row>
    <row r="22" ht="15" customHeight="1" s="67">
      <c r="A22" s="73" t="inlineStr">
        <is>
          <t>Cobranças no cartão por comprador</t>
        </is>
      </c>
      <c r="B22" s="100">
        <f>1+$B$12*Premissas!$B$28+$B$12*Premissas!$B$29</f>
        <v/>
      </c>
      <c r="C22" s="80" t="inlineStr">
        <is>
          <t>cobranças</t>
        </is>
      </c>
      <c r="D22" s="69" t="inlineStr">
        <is>
          <t>Pedido + cada upsell aceito (cada um paga a taxa fixa do Stripe).</t>
        </is>
      </c>
    </row>
    <row r="23" ht="28.5" customHeight="1" s="67">
      <c r="A23" s="73" t="inlineStr">
        <is>
          <t>Volume de assinatura na 1ª cobrança (base do Stripe Billing)</t>
        </is>
      </c>
      <c r="B23" s="97">
        <f>Premissas!$B$64*$B$7*(1-Premissas!$B$21*Premissas!$B$19)+$B$14</f>
        <v/>
      </c>
      <c r="C23" s="80" t="inlineStr">
        <is>
          <t>US$ por comprador</t>
        </is>
      </c>
      <c r="D23" s="69" t="inlineStr">
        <is>
          <t>1ª cobrança das assinaturas do plano (com cupom) + 1ª cobrança do upsell 2. Aproximação: ignora o bump na fatura da assinatura.</t>
        </is>
      </c>
    </row>
    <row r="24" ht="15" customHeight="1" s="67">
      <c r="A24" s="73" t="inlineStr">
        <is>
          <t>Custo do produto (COGS)</t>
        </is>
      </c>
      <c r="B24" s="97">
        <f>IF(ISNUMBER(Premissas!$B$34),$B$20*Premissas!$B$34,"preencha o custo")</f>
        <v/>
      </c>
      <c r="C24" s="80" t="inlineStr">
        <is>
          <t>US$ por comprador</t>
        </is>
      </c>
      <c r="D24" s="69" t="inlineStr">
        <is>
          <t>Unidades × custo por unidade.</t>
        </is>
      </c>
    </row>
    <row r="25" ht="15" customHeight="1" s="67">
      <c r="A25" s="73" t="inlineStr">
        <is>
          <t>Frete + separação</t>
        </is>
      </c>
      <c r="B25" s="97">
        <f>IF(ISNUMBER(Premissas!$B$35),$B$21*(Premissas!$B$35+N(Premissas!$B$36)),"preencha o custo")</f>
        <v/>
      </c>
      <c r="C25" s="80" t="inlineStr">
        <is>
          <t>US$ por comprador</t>
        </is>
      </c>
      <c r="D25" s="69" t="inlineStr">
        <is>
          <t>Envios × (frete + separação/embalagem).</t>
        </is>
      </c>
    </row>
    <row r="26" ht="28.5" customHeight="1" s="67">
      <c r="A26" s="73" t="inlineStr">
        <is>
          <t>Taxas de cartão do Stripe</t>
        </is>
      </c>
      <c r="B26" s="97">
        <f>$B$15*(Premissas!$B$39+Premissas!$B$42)+$B$22*Premissas!$B$40</f>
        <v/>
      </c>
      <c r="C26" s="80" t="inlineStr">
        <is>
          <t>US$ por comprador</t>
        </is>
      </c>
      <c r="D26" s="69" t="inlineStr">
        <is>
          <t>Receita bruta × (taxa % + adicional internacional) + cobranças × taxa fixa. Não volta no reembolso.</t>
        </is>
      </c>
    </row>
    <row r="27" ht="15" customHeight="1" s="67">
      <c r="A27" s="73" t="inlineStr">
        <is>
          <t>Stripe Billing (assinaturas)</t>
        </is>
      </c>
      <c r="B27" s="97">
        <f>$B$23*Premissas!$B$41</f>
        <v/>
      </c>
      <c r="C27" s="80" t="inlineStr">
        <is>
          <t>US$ por comprador</t>
        </is>
      </c>
      <c r="D27" s="69" t="inlineStr">
        <is>
          <t>Volume de assinatura × taxa do Billing.</t>
        </is>
      </c>
    </row>
    <row r="28" ht="15" customHeight="1" s="67">
      <c r="A28" s="73" t="inlineStr">
        <is>
          <t>Taxas de disputa</t>
        </is>
      </c>
      <c r="B28" s="97">
        <f>Premissas!$B$46*Premissas!$B$43</f>
        <v/>
      </c>
      <c r="C28" s="80" t="inlineStr">
        <is>
          <t>US$ por comprador</t>
        </is>
      </c>
      <c r="D28" s="69" t="inlineStr">
        <is>
          <t>Taxa de disputas × taxa por disputa.</t>
        </is>
      </c>
    </row>
    <row r="29" ht="15" customHeight="1" s="67">
      <c r="A29" s="86" t="inlineStr">
        <is>
          <t>Custos variáveis totais</t>
        </is>
      </c>
      <c r="B29" s="98">
        <f>IF($B$4&lt;&gt;"sim","preencha o custo",$B$24+$B$25+$B$26+$B$27+$B$28)</f>
        <v/>
      </c>
      <c r="C29" s="88" t="inlineStr">
        <is>
          <t>US$ por comprador</t>
        </is>
      </c>
      <c r="D29" s="89" t="inlineStr">
        <is>
          <t>COGS + frete + Stripe + Billing + disputas.</t>
        </is>
      </c>
    </row>
    <row r="30" ht="15" customHeight="1" s="67">
      <c r="A30" s="71" t="inlineStr">
        <is>
          <t>3. Margem de contribuição e limites de mídia (1ª compra)</t>
        </is>
      </c>
      <c r="B30" s="72" t="n"/>
      <c r="C30" s="72" t="n"/>
      <c r="D30" s="72" t="n"/>
    </row>
    <row r="31" ht="15" customHeight="1" s="67">
      <c r="A31" s="86" t="inlineStr">
        <is>
          <t>Margem de contribuição por comprador (antes da mídia)</t>
        </is>
      </c>
      <c r="B31" s="98">
        <f>IF($B$4&lt;&gt;"sim","preencha o custo",$B$18-$B$29)</f>
        <v/>
      </c>
      <c r="C31" s="88" t="inlineStr">
        <is>
          <t>US$ por comprador</t>
        </is>
      </c>
      <c r="D31" s="89" t="inlineStr">
        <is>
          <t>Receita líquida − custos variáveis. Não inclui custos fixos nem impostos.</t>
        </is>
      </c>
    </row>
    <row r="32" ht="15" customHeight="1" s="67">
      <c r="A32" s="73" t="inlineStr">
        <is>
          <t>Margem de contribuição (% da receita líquida)</t>
        </is>
      </c>
      <c r="B32" s="99">
        <f>IF($B$4&lt;&gt;"sim","preencha o custo",IF($B$18&gt;0,$B$31/$B$18,0))</f>
        <v/>
      </c>
      <c r="C32" s="80" t="inlineStr">
        <is>
          <t>%</t>
        </is>
      </c>
      <c r="D32" s="69" t="inlineStr">
        <is>
          <t>Margem de contribuição ÷ receita líquida.</t>
        </is>
      </c>
    </row>
    <row r="33" ht="15" customHeight="1" s="67">
      <c r="A33" s="86" t="inlineStr">
        <is>
          <t>CPA de equilíbrio (custo máximo por compra)</t>
        </is>
      </c>
      <c r="B33" s="98">
        <f>IF($B$4&lt;&gt;"sim","preencha o custo",$B$31)</f>
        <v/>
      </c>
      <c r="C33" s="88" t="inlineStr">
        <is>
          <t>US$ por compra</t>
        </is>
      </c>
      <c r="D33" s="89" t="inlineStr">
        <is>
          <t>Pagando este valor de mídia por compra, a 1ª compra empata (lucro zero).</t>
        </is>
      </c>
    </row>
    <row r="34" ht="28.5" customHeight="1" s="67">
      <c r="A34" s="86" t="inlineStr">
        <is>
          <t>CPA alvo (na margem-alvo)</t>
        </is>
      </c>
      <c r="B34" s="98">
        <f>IF($B$4&lt;&gt;"sim","preencha o custo",$B$31-Premissas!$B$48*$B$18)</f>
        <v/>
      </c>
      <c r="C34" s="88" t="inlineStr">
        <is>
          <t>US$ por compra</t>
        </is>
      </c>
      <c r="D34" s="89" t="inlineStr">
        <is>
          <t>Margem de contribuição − margem-alvo × receita líquida. Negativo = a margem-alvo não cabe nesses preços/custos.</t>
        </is>
      </c>
    </row>
    <row r="35" ht="28.5" customHeight="1" s="67">
      <c r="A35" s="86" t="inlineStr">
        <is>
          <t>ROAS de equilíbrio — receita total no Stripe</t>
        </is>
      </c>
      <c r="B35" s="101">
        <f>IF($B$4&lt;&gt;"sim","preencha o custo",IF($B$33&gt;0,$B$15/$B$33,"sem margem (CPA ≤ 0)"))</f>
        <v/>
      </c>
      <c r="C35" s="88" t="inlineStr">
        <is>
          <t>receita ÷ gasto</t>
        </is>
      </c>
      <c r="D35" s="89" t="inlineStr">
        <is>
          <t>Receita bruta ÷ CPA de equilíbrio. Comparar com receita do Stripe (pedido + upsells) ÷ gasto.</t>
        </is>
      </c>
    </row>
    <row r="36" ht="28.5" customHeight="1" s="67">
      <c r="A36" s="73" t="inlineStr">
        <is>
          <t>ROAS de equilíbrio — valor do Pixel (só o pedido)</t>
        </is>
      </c>
      <c r="B36" s="102">
        <f>IF($B$4&lt;&gt;"sim","preencha o custo",IF($B$33&gt;0,$B$11/$B$33,"sem margem (CPA ≤ 0)"))</f>
        <v/>
      </c>
      <c r="C36" s="80" t="inlineStr">
        <is>
          <t>receita ÷ gasto</t>
        </is>
      </c>
      <c r="D36" s="69" t="inlineStr">
        <is>
          <t>Ticket médio ÷ CPA de equilíbrio. Comparar com o "Purchase ROAS" do Meta, que não inclui os upsells.</t>
        </is>
      </c>
    </row>
    <row r="37" ht="15" customHeight="1" s="67">
      <c r="A37" s="73" t="inlineStr">
        <is>
          <t>ROAS alvo — receita total no Stripe</t>
        </is>
      </c>
      <c r="B37" s="102">
        <f>IF($B$4&lt;&gt;"sim","preencha o custo",IF($B$34&gt;0,$B$15/$B$34,"sem margem (CPA ≤ 0)"))</f>
        <v/>
      </c>
      <c r="C37" s="80" t="inlineStr">
        <is>
          <t>receita ÷ gasto</t>
        </is>
      </c>
      <c r="D37" s="69" t="inlineStr">
        <is>
          <t>Receita bruta ÷ CPA alvo.</t>
        </is>
      </c>
    </row>
    <row r="38" ht="15" customHeight="1" s="67">
      <c r="A38" s="73" t="inlineStr">
        <is>
          <t>ROAS alvo — valor do Pixel (só o pedido)</t>
        </is>
      </c>
      <c r="B38" s="102">
        <f>IF($B$4&lt;&gt;"sim","preencha o custo",IF($B$34&gt;0,$B$11/$B$34,"sem margem (CPA ≤ 0)"))</f>
        <v/>
      </c>
      <c r="C38" s="80" t="inlineStr">
        <is>
          <t>receita ÷ gasto</t>
        </is>
      </c>
      <c r="D38" s="69" t="inlineStr">
        <is>
          <t>Ticket médio ÷ CPA alvo.</t>
        </is>
      </c>
    </row>
    <row r="39" ht="15" customHeight="1" s="67">
      <c r="A39" s="71" t="inlineStr">
        <is>
          <t>4. LTV com a retenção das assinaturas (opcional; com retenção = 1 é igual à 1ª compra)</t>
        </is>
      </c>
      <c r="B39" s="72" t="n"/>
      <c r="C39" s="72" t="n"/>
      <c r="D39" s="72" t="n"/>
    </row>
    <row r="40" ht="15" customHeight="1" s="67">
      <c r="A40" s="73" t="inlineStr">
        <is>
          <t>Cobranças extras das assinaturas do plano por comprador</t>
        </is>
      </c>
      <c r="B40" s="100">
        <f>Premissas!$B$64*MAX(Premissas!$B$31-1,0)</f>
        <v/>
      </c>
      <c r="C40" s="80" t="inlineStr">
        <is>
          <t>cobranças</t>
        </is>
      </c>
      <c r="D40" s="69" t="inlineStr">
        <is>
          <t>% de assinantes × (cobranças por assinante − 1).</t>
        </is>
      </c>
    </row>
    <row r="41" ht="15" customHeight="1" s="67">
      <c r="A41" s="73" t="inlineStr">
        <is>
          <t>Cobranças extras do upsell 2 por comprador</t>
        </is>
      </c>
      <c r="B41" s="100">
        <f>$B$12*Premissas!$B$29*MAX(Premissas!$B$32-1,0)</f>
        <v/>
      </c>
      <c r="C41" s="80" t="inlineStr">
        <is>
          <t>cobranças</t>
        </is>
      </c>
      <c r="D41" s="69" t="inlineStr">
        <is>
          <t>% que aceita o upsell 2 × (cobranças por assinante − 1).</t>
        </is>
      </c>
    </row>
    <row r="42" ht="15" customHeight="1" s="67">
      <c r="A42" s="73" t="inlineStr">
        <is>
          <t>Margem por renovação da assinatura do plano (média do mix)</t>
        </is>
      </c>
      <c r="B42" s="97">
        <f>IF($B$4&lt;&gt;"sim","preencha o custo",$B$7*(1-Premissas!$B$39-Premissas!$B$42-Premissas!$B$41)-Premissas!$B$40-(Premissas!$B$23*Premissas!$B$12+Premissas!$B$24*Premissas!$B$13+Premissas!$B$25*Premissas!$B$14)*Premissas!$B$34-(Premissas!$B$35+N(Premissas!$B$36)))</f>
        <v/>
      </c>
      <c r="C42" s="80" t="inlineStr">
        <is>
          <t>US$ por cobrança</t>
        </is>
      </c>
      <c r="D42" s="69" t="inlineStr">
        <is>
          <t>Preço médio do mix − taxas Stripe e Billing − unidades médias do mix − 1 envio (sem cupom nas renovações).</t>
        </is>
      </c>
    </row>
    <row r="43" ht="15" customHeight="1" s="67">
      <c r="A43" s="73" t="inlineStr">
        <is>
          <t>Margem por cobrança recorrente do upsell 2</t>
        </is>
      </c>
      <c r="B43" s="97">
        <f>IF($B$4&lt;&gt;"sim","preencha o custo",Premissas!$B$10*(1-Premissas!$B$39-Premissas!$B$42-Premissas!$B$41)-Premissas!$B$40-Premissas!$B$17*Premissas!$B$34-(Premissas!$B$35+N(Premissas!$B$36)))</f>
        <v/>
      </c>
      <c r="C43" s="80" t="inlineStr">
        <is>
          <t>US$ por cobrança</t>
        </is>
      </c>
      <c r="D43" s="69" t="inlineStr">
        <is>
          <t>Preço − taxas − 3 unidades − 1 envio.</t>
        </is>
      </c>
    </row>
    <row r="44" ht="15" customHeight="1" s="67">
      <c r="A44" s="73" t="inlineStr">
        <is>
          <t>Receita recorrente extra por comprador</t>
        </is>
      </c>
      <c r="B44" s="97">
        <f>$B$40*$B$7+$B$41*Premissas!$B$10</f>
        <v/>
      </c>
      <c r="C44" s="80" t="inlineStr">
        <is>
          <t>US$ por comprador</t>
        </is>
      </c>
      <c r="D44" s="69" t="inlineStr">
        <is>
          <t>Cobranças extras × preço.</t>
        </is>
      </c>
    </row>
    <row r="45" ht="15" customHeight="1" s="67">
      <c r="A45" s="73" t="inlineStr">
        <is>
          <t>Margem recorrente extra por comprador</t>
        </is>
      </c>
      <c r="B45" s="97">
        <f>IF($B$4&lt;&gt;"sim","preencha o custo",$B$40*$B$42+$B$41*$B$43)</f>
        <v/>
      </c>
      <c r="C45" s="80" t="inlineStr">
        <is>
          <t>US$ por comprador</t>
        </is>
      </c>
      <c r="D45" s="69" t="inlineStr">
        <is>
          <t>Cobranças extras × margem por cobrança.</t>
        </is>
      </c>
    </row>
    <row r="46" ht="15" customHeight="1" s="67">
      <c r="A46" s="86" t="inlineStr">
        <is>
          <t>LTV de receita por comprador</t>
        </is>
      </c>
      <c r="B46" s="98">
        <f>$B$15+$B$44</f>
        <v/>
      </c>
      <c r="C46" s="88" t="inlineStr">
        <is>
          <t>US$ por comprador</t>
        </is>
      </c>
      <c r="D46" s="89" t="inlineStr">
        <is>
          <t>Receita bruta da 1ª compra + receita recorrente extra.</t>
        </is>
      </c>
    </row>
    <row r="47" ht="15" customHeight="1" s="67">
      <c r="A47" s="86" t="inlineStr">
        <is>
          <t>LTV de margem de contribuição por comprador</t>
        </is>
      </c>
      <c r="B47" s="98">
        <f>IF($B$4&lt;&gt;"sim","preencha o custo",$B$31+$B$45)</f>
        <v/>
      </c>
      <c r="C47" s="88" t="inlineStr">
        <is>
          <t>US$ por comprador</t>
        </is>
      </c>
      <c r="D47" s="89" t="inlineStr">
        <is>
          <t>Margem da 1ª compra + margem recorrente extra.</t>
        </is>
      </c>
    </row>
    <row r="48" ht="28.5" customHeight="1" s="67">
      <c r="A48" s="73" t="inlineStr">
        <is>
          <t>CPA de equilíbrio pelo LTV</t>
        </is>
      </c>
      <c r="B48" s="97">
        <f>IF($B$4&lt;&gt;"sim","preencha o custo",$B$47)</f>
        <v/>
      </c>
      <c r="C48" s="80" t="inlineStr">
        <is>
          <t>US$ por compra</t>
        </is>
      </c>
      <c r="D48" s="69" t="inlineStr">
        <is>
          <t>Só use se a retenção vier de dados reais do Stripe — o caixa da recorrência entra nos meses seguintes.</t>
        </is>
      </c>
    </row>
    <row r="49" ht="15" customHeight="1" s="67">
      <c r="A49" s="73" t="inlineStr">
        <is>
          <t>CPA alvo pelo LTV</t>
        </is>
      </c>
      <c r="B49" s="97">
        <f>IF($B$4&lt;&gt;"sim","preencha o custo",$B$47-Premissas!$B$48*($B$18+$B$44))</f>
        <v/>
      </c>
      <c r="C49" s="80" t="inlineStr">
        <is>
          <t>US$ por compra</t>
        </is>
      </c>
      <c r="D49" s="69" t="inlineStr">
        <is>
          <t>LTV de margem − margem-alvo × (receita líquida + recorrente).</t>
        </is>
      </c>
    </row>
    <row r="50" ht="15" customHeight="1" s="67">
      <c r="A50" s="73" t="inlineStr">
        <is>
          <t>ROAS de equilíbrio pelo LTV (receita total)</t>
        </is>
      </c>
      <c r="B50" s="102">
        <f>IF($B$4&lt;&gt;"sim","preencha o custo",IF($B$48&gt;0,$B$46/$B$48,"sem margem (CPA ≤ 0)"))</f>
        <v/>
      </c>
      <c r="C50" s="80" t="inlineStr">
        <is>
          <t>receita ÷ gasto</t>
        </is>
      </c>
      <c r="D50" s="69" t="inlineStr">
        <is>
          <t>LTV de receita ÷ CPA de equilíbrio pelo LTV.</t>
        </is>
      </c>
    </row>
  </sheetData>
  <mergeCells count="2">
    <mergeCell ref="F10:M11"/>
    <mergeCell ref="A2:D2"/>
  </mergeCells>
  <conditionalFormatting sqref="B4:B50">
    <cfRule type="expression" rank="0" priority="2" equalAverage="0" aboveAverage="0" dxfId="0" text="" percent="0" bottom="0">
      <formula>ISNUMBER(SEARCH("preencha",B4))</formula>
    </cfRule>
  </conditionalFormatting>
  <conditionalFormatting sqref="I4:M9">
    <cfRule type="expression" rank="0" priority="3" equalAverage="0" aboveAverage="0" dxfId="0" text="" percent="0" bottom="0">
      <formula>ISNUMBER(SEARCH("preencha",I4))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0" customWidth="1" style="66" min="1" max="1"/>
    <col width="34" customWidth="1" style="66" min="2" max="2"/>
    <col width="24" customWidth="1" style="66" min="3" max="3"/>
    <col width="12" customWidth="1" style="66" min="4" max="4"/>
    <col width="24" customWidth="1" style="66" min="5" max="5"/>
    <col width="15" customWidth="1" style="66" min="6" max="6"/>
    <col width="12" customWidth="1" style="66" min="7" max="7"/>
    <col width="60" customWidth="1" style="66" min="8" max="8"/>
  </cols>
  <sheetData>
    <row r="1" ht="17.35" customHeight="1" s="67">
      <c r="A1" s="68" t="inlineStr">
        <is>
          <t>VitalRise — Funil por 1.000 visitantes</t>
        </is>
      </c>
    </row>
    <row r="2" ht="27.75" customHeight="1" s="67">
      <c r="A2" s="69" t="inlineStr">
        <is>
          <t>As taxas vêm da aba Premissas (seções 4 e 10, em verde). Quantidades, receita e limites de custo são calculados. Eventos GA4/PostHog/Meta saem de lib/analytics.ts e só disparam após o consentimento de cookies.</t>
        </is>
      </c>
    </row>
    <row r="3" ht="30" customHeight="1" s="67">
      <c r="A3" s="70" t="inlineStr">
        <is>
          <t>Etapa</t>
        </is>
      </c>
      <c r="B3" s="70" t="inlineStr">
        <is>
          <t>Evento GA4 / PostHog</t>
        </is>
      </c>
      <c r="C3" s="70" t="inlineStr">
        <is>
          <t>Evento Meta Pixel</t>
        </is>
      </c>
      <c r="D3" s="70" t="inlineStr">
        <is>
          <t>Taxa da etapa</t>
        </is>
      </c>
      <c r="E3" s="70" t="inlineStr">
        <is>
          <t>Base da taxa</t>
        </is>
      </c>
      <c r="F3" s="70" t="inlineStr">
        <is>
          <t>Quantidade por 1.000 visitantes</t>
        </is>
      </c>
      <c r="G3" s="70" t="inlineStr">
        <is>
          <t>% dos visitantes</t>
        </is>
      </c>
      <c r="H3" s="70" t="inlineStr">
        <is>
          <t>Fonte de verdade para a contagem real</t>
        </is>
      </c>
    </row>
    <row r="4" ht="28.5" customHeight="1" s="67">
      <c r="A4" s="103" t="inlineStr">
        <is>
          <t>Visitantes na landing (/quiz)</t>
        </is>
      </c>
      <c r="B4" s="104" t="inlineStr">
        <is>
          <t>page_view em /quiz (GA4) · $pageview (PostHog)</t>
        </is>
      </c>
      <c r="C4" s="104" t="inlineStr">
        <is>
          <t>PageView</t>
        </is>
      </c>
      <c r="D4" s="103" t="inlineStr">
        <is>
          <t>—</t>
        </is>
      </c>
      <c r="E4" s="105" t="inlineStr">
        <is>
          <t>—</t>
        </is>
      </c>
      <c r="F4" s="106">
        <f>Premissas!$B$50</f>
        <v/>
      </c>
      <c r="G4" s="107">
        <f>IF($F$4&gt;0,F4/$F$4,0)</f>
        <v/>
      </c>
      <c r="H4" s="105" t="inlineStr">
        <is>
          <t>GA4: sessões com landing page /quiz; Meta: Landing page views (Ads Manager)</t>
        </is>
      </c>
    </row>
    <row r="5" ht="22.35" customHeight="1" s="67">
      <c r="A5" s="103" t="inlineStr">
        <is>
          <t>Início do quiz</t>
        </is>
      </c>
      <c r="B5" s="104" t="inlineStr">
        <is>
          <t>quiz_start</t>
        </is>
      </c>
      <c r="C5" s="104" t="inlineStr">
        <is>
          <t>quiz_start (trackCustom)</t>
        </is>
      </c>
      <c r="D5" s="108">
        <f>Premissas!$B$52</f>
        <v/>
      </c>
      <c r="E5" s="105" t="inlineStr">
        <is>
          <t>sobre visitantes</t>
        </is>
      </c>
      <c r="F5" s="109">
        <f>$F$4*D5</f>
        <v/>
      </c>
      <c r="G5" s="107">
        <f>IF($F$4&gt;0,F5/$F$4,0)</f>
        <v/>
      </c>
      <c r="H5" s="105" t="inlineStr">
        <is>
          <t>GA4/PostHog quiz_start</t>
        </is>
      </c>
    </row>
    <row r="6" ht="28.5" customHeight="1" s="67">
      <c r="A6" s="103" t="inlineStr">
        <is>
          <t>Quiz concluído</t>
        </is>
      </c>
      <c r="B6" s="104" t="inlineStr">
        <is>
          <t>quiz_complete (persona_gender, age)</t>
        </is>
      </c>
      <c r="C6" s="104" t="inlineStr">
        <is>
          <t>Lead</t>
        </is>
      </c>
      <c r="D6" s="108">
        <f>Premissas!$B$53</f>
        <v/>
      </c>
      <c r="E6" s="105" t="inlineStr">
        <is>
          <t>sobre início do quiz</t>
        </is>
      </c>
      <c r="F6" s="109">
        <f>$F$5*D6</f>
        <v/>
      </c>
      <c r="G6" s="107">
        <f>IF($F$4&gt;0,F6/$F$4,0)</f>
        <v/>
      </c>
      <c r="H6" s="105" t="inlineStr">
        <is>
          <t>Supabase quiz_responses (linha criada em /analyzing; não depende de cookies)</t>
        </is>
      </c>
    </row>
    <row r="7" ht="15" customHeight="1" s="67">
      <c r="A7" s="103" t="inlineStr">
        <is>
          <t>Oferta vista</t>
        </is>
      </c>
      <c r="B7" s="104" t="inlineStr">
        <is>
          <t>view_offer (persona)</t>
        </is>
      </c>
      <c r="C7" s="104" t="inlineStr">
        <is>
          <t>ViewContent</t>
        </is>
      </c>
      <c r="D7" s="108">
        <f>Premissas!$B$54</f>
        <v/>
      </c>
      <c r="E7" s="105" t="inlineStr">
        <is>
          <t>sobre quiz concluído</t>
        </is>
      </c>
      <c r="F7" s="109">
        <f>$F$6*D7</f>
        <v/>
      </c>
      <c r="G7" s="107">
        <f>IF($F$4&gt;0,F7/$F$4,0)</f>
        <v/>
      </c>
      <c r="H7" s="105" t="inlineStr">
        <is>
          <t>GA4/PostHog view_offer</t>
        </is>
      </c>
    </row>
    <row r="8" ht="22.35" customHeight="1" s="67">
      <c r="A8" s="103" t="inlineStr">
        <is>
          <t>Início do checkout</t>
        </is>
      </c>
      <c r="B8" s="104" t="inlineStr">
        <is>
          <t>begin_checkout (plan, value, currency)</t>
        </is>
      </c>
      <c r="C8" s="104" t="inlineStr">
        <is>
          <t>InitiateCheckout</t>
        </is>
      </c>
      <c r="D8" s="108">
        <f>Premissas!$B$55</f>
        <v/>
      </c>
      <c r="E8" s="105" t="inlineStr">
        <is>
          <t>sobre oferta vista</t>
        </is>
      </c>
      <c r="F8" s="109">
        <f>$F$7*D8</f>
        <v/>
      </c>
      <c r="G8" s="107">
        <f>IF($F$4&gt;0,F8/$F$4,0)</f>
        <v/>
      </c>
      <c r="H8" s="105" t="inlineStr">
        <is>
          <t>GA4/PostHog begin_checkout</t>
        </is>
      </c>
    </row>
    <row r="9" ht="28.5" customHeight="1" s="67">
      <c r="A9" s="110" t="inlineStr">
        <is>
          <t>Compra</t>
        </is>
      </c>
      <c r="B9" s="104" t="inlineStr">
        <is>
          <t>purchase (value, currency, plan)</t>
        </is>
      </c>
      <c r="C9" s="104" t="inlineStr">
        <is>
          <t>Purchase</t>
        </is>
      </c>
      <c r="D9" s="108">
        <f>Premissas!$B$56</f>
        <v/>
      </c>
      <c r="E9" s="105" t="inlineStr">
        <is>
          <t>sobre início do checkout</t>
        </is>
      </c>
      <c r="F9" s="109">
        <f>$F$8*D9</f>
        <v/>
      </c>
      <c r="G9" s="107">
        <f>IF($F$4&gt;0,F9/$F$4,0)</f>
        <v/>
      </c>
      <c r="H9" s="105" t="inlineStr">
        <is>
          <t>Stripe checkout.session.completed (pago) · Supabase orders (status = 'paid')</t>
        </is>
      </c>
    </row>
    <row r="10" ht="15" customHeight="1" s="67">
      <c r="A10" s="103" t="inlineStr">
        <is>
          <t>Pedidos com order bump</t>
        </is>
      </c>
      <c r="B10" s="104" t="inlineStr">
        <is>
          <t>— (sem evento próprio)</t>
        </is>
      </c>
      <c r="C10" s="104" t="inlineStr">
        <is>
          <t>—</t>
        </is>
      </c>
      <c r="D10" s="108">
        <f>Premissas!$B$27</f>
        <v/>
      </c>
      <c r="E10" s="105" t="inlineStr">
        <is>
          <t>sobre compras</t>
        </is>
      </c>
      <c r="F10" s="109">
        <f>$F$9*D10</f>
        <v/>
      </c>
      <c r="G10" s="107">
        <f>IF($F$4&gt;0,F10/$F$4,0)</f>
        <v/>
      </c>
      <c r="H10" s="105" t="inlineStr">
        <is>
          <t>Supabase orders.bump = true</t>
        </is>
      </c>
    </row>
    <row r="11" ht="15" customHeight="1" s="67">
      <c r="A11" s="103" t="inlineStr">
        <is>
          <t>Compradores que veem os upsells (compra única de 1 unidade ou Kit 3)</t>
        </is>
      </c>
      <c r="B11" s="104" t="inlineStr">
        <is>
          <t>— (página /upsell-1)</t>
        </is>
      </c>
      <c r="C11" s="104" t="inlineStr">
        <is>
          <t>—</t>
        </is>
      </c>
      <c r="D11" s="108">
        <f>'Unit economics'!$B$12</f>
        <v/>
      </c>
      <c r="E11" s="105" t="inlineStr">
        <is>
          <t>sobre compras (mix de planos)</t>
        </is>
      </c>
      <c r="F11" s="109">
        <f>$F$9*D11</f>
        <v/>
      </c>
      <c r="G11" s="107">
        <f>IF($F$4&gt;0,F11/$F$4,0)</f>
        <v/>
      </c>
      <c r="H11" s="105" t="inlineStr">
        <is>
          <t>Supabase orders.plan in ('single', 'kit3'), só compra única (Stripe: mode payment)</t>
        </is>
      </c>
    </row>
    <row r="12" ht="28.5" customHeight="1" s="67">
      <c r="A12" s="103" t="inlineStr">
        <is>
          <t>Upsell 1 aceito (Kit 6 único)</t>
        </is>
      </c>
      <c r="B12" s="104" t="inlineStr">
        <is>
          <t>upsell_accepted (offer = kit6)</t>
        </is>
      </c>
      <c r="C12" s="104" t="inlineStr">
        <is>
          <t>upsell_accepted (trackCustom)</t>
        </is>
      </c>
      <c r="D12" s="108">
        <f>Premissas!$B$28</f>
        <v/>
      </c>
      <c r="E12" s="105" t="inlineStr">
        <is>
          <t>sobre quem vê os upsells</t>
        </is>
      </c>
      <c r="F12" s="109">
        <f>$F$11*D12</f>
        <v/>
      </c>
      <c r="G12" s="107">
        <f>IF($F$4&gt;0,F12/$F$4,0)</f>
        <v/>
      </c>
      <c r="H12" s="105" t="inlineStr">
        <is>
          <t>Stripe PaymentIntents com metadata upsell = kit6 · Supabase orders.upsells</t>
        </is>
      </c>
    </row>
    <row r="13" ht="22.35" customHeight="1" s="67">
      <c r="A13" s="103" t="inlineStr">
        <is>
          <t>Upsell 2 aceito (assinatura Kit 3)</t>
        </is>
      </c>
      <c r="B13" s="104" t="inlineStr">
        <is>
          <t>upsell_accepted (offer = subscription)</t>
        </is>
      </c>
      <c r="C13" s="104" t="inlineStr">
        <is>
          <t>upsell_accepted (trackCustom)</t>
        </is>
      </c>
      <c r="D13" s="108">
        <f>Premissas!$B$29</f>
        <v/>
      </c>
      <c r="E13" s="105" t="inlineStr">
        <is>
          <t>sobre quem vê os upsells</t>
        </is>
      </c>
      <c r="F13" s="109">
        <f>$F$11*D13</f>
        <v/>
      </c>
      <c r="G13" s="107">
        <f>IF($F$4&gt;0,F13/$F$4,0)</f>
        <v/>
      </c>
      <c r="H13" s="105" t="inlineStr">
        <is>
          <t>Stripe Subscriptions com metadata upsell = subscription</t>
        </is>
      </c>
    </row>
    <row r="14"/>
    <row r="15" ht="15" customHeight="1" s="67">
      <c r="A15" s="71" t="inlineStr">
        <is>
          <t>Receita e limites de custo de mídia por 1.000 visitantes</t>
        </is>
      </c>
      <c r="B15" s="72" t="n"/>
      <c r="C15" s="72" t="n"/>
      <c r="D15" s="72" t="n"/>
      <c r="E15" s="72" t="n"/>
      <c r="F15" s="72" t="n"/>
      <c r="G15" s="72" t="n"/>
      <c r="H15" s="72" t="n"/>
    </row>
    <row r="16" ht="15" customHeight="1" s="67">
      <c r="A16" s="111" t="inlineStr">
        <is>
          <t>Indicador</t>
        </is>
      </c>
      <c r="B16" s="111" t="inlineStr">
        <is>
          <t>Valor</t>
        </is>
      </c>
      <c r="C16" s="111" t="inlineStr">
        <is>
          <t>Como é calculado</t>
        </is>
      </c>
    </row>
    <row r="17" ht="15" customHeight="1" s="67">
      <c r="A17" s="80" t="inlineStr">
        <is>
          <t>Conversão visitante → compra</t>
        </is>
      </c>
      <c r="B17" s="112">
        <f>IF($F$4&gt;0,$F$9/$F$4,0)</f>
        <v/>
      </c>
      <c r="C17" s="69" t="inlineStr">
        <is>
          <t>Compras ÷ visitantes.</t>
        </is>
      </c>
    </row>
    <row r="18" ht="15" customHeight="1" s="67">
      <c r="A18" s="80" t="inlineStr">
        <is>
          <t>Receita bruta por comprador (1ª compra)</t>
        </is>
      </c>
      <c r="B18" s="113">
        <f>'Unit economics'!$B$15</f>
        <v/>
      </c>
      <c r="C18" s="69" t="inlineStr">
        <is>
          <t>Da aba Unit economics (pedido + upsells).</t>
        </is>
      </c>
    </row>
    <row r="19" ht="15" customHeight="1" s="67">
      <c r="A19" s="80" t="inlineStr">
        <is>
          <t>Receita bruta por 1.000 visitantes</t>
        </is>
      </c>
      <c r="B19" s="114">
        <f>$F$9*$B$18</f>
        <v/>
      </c>
      <c r="C19" s="69" t="inlineStr">
        <is>
          <t>Compras × receita bruta por comprador.</t>
        </is>
      </c>
    </row>
    <row r="20" ht="15" customHeight="1" s="67">
      <c r="A20" s="115" t="inlineStr">
        <is>
          <t>Receita por visitante (RPV)</t>
        </is>
      </c>
      <c r="B20" s="116">
        <f>IF($F$4&gt;0,$B$19/$F$4,0)</f>
        <v/>
      </c>
      <c r="C20" s="89" t="inlineStr">
        <is>
          <t>Receita ÷ visitantes.</t>
        </is>
      </c>
    </row>
    <row r="21" ht="15" customHeight="1" s="67">
      <c r="A21" s="80" t="inlineStr">
        <is>
          <t>Margem de contribuição por comprador</t>
        </is>
      </c>
      <c r="B21" s="113">
        <f>'Unit economics'!$B$31</f>
        <v/>
      </c>
      <c r="C21" s="69" t="inlineStr">
        <is>
          <t>Da aba Unit economics (antes da mídia).</t>
        </is>
      </c>
    </row>
    <row r="22" ht="15" customHeight="1" s="67">
      <c r="A22" s="80" t="inlineStr">
        <is>
          <t>Margem de contribuição por 1.000 visitantes (antes da mídia)</t>
        </is>
      </c>
      <c r="B22" s="114">
        <f>IF(ISNUMBER($B$21),$F$9*$B$21,"preencha o custo")</f>
        <v/>
      </c>
      <c r="C22" s="69" t="inlineStr">
        <is>
          <t>É o máximo que se pode gastar em mídia para trazer estes visitantes sem prejuízo na 1ª compra.</t>
        </is>
      </c>
    </row>
    <row r="23" ht="15" customHeight="1" s="67">
      <c r="A23" s="80" t="inlineStr">
        <is>
          <t>Margem de contribuição por visitante</t>
        </is>
      </c>
      <c r="B23" s="114">
        <f>IF(ISNUMBER($B$22),IF($F$4&gt;0,$B$22/$F$4,0),"preencha o custo")</f>
        <v/>
      </c>
      <c r="C23" s="69" t="inlineStr">
        <is>
          <t>Custo máximo por visita na landing.</t>
        </is>
      </c>
    </row>
    <row r="24" ht="15" customHeight="1" s="67">
      <c r="A24" s="115" t="inlineStr">
        <is>
          <t>CPC máximo de equilíbrio (por clique no link)</t>
        </is>
      </c>
      <c r="B24" s="116">
        <f>IF(ISNUMBER($B$23),$B$23*Premissas!$B$51,"preencha o custo")</f>
        <v/>
      </c>
      <c r="C24" s="89" t="inlineStr">
        <is>
          <t>Margem por visitante × taxa clique → visita. Acima disso a 1ª compra dá prejuízo.</t>
        </is>
      </c>
    </row>
    <row r="25" ht="15" customHeight="1" s="67">
      <c r="A25" s="115" t="inlineStr">
        <is>
          <t>CPC máximo na margem-alvo</t>
        </is>
      </c>
      <c r="B25" s="116">
        <f>IF(ISNUMBER('Unit economics'!$B$34),IF($F$4&gt;0,$F$9*'Unit economics'!$B$34/$F$4*Premissas!$B$51,0),"preencha o custo")</f>
        <v/>
      </c>
      <c r="C25" s="89" t="inlineStr">
        <is>
          <t>Compras × CPA alvo ÷ visitantes × taxa clique → visita.</t>
        </is>
      </c>
    </row>
    <row r="26" ht="15" customHeight="1" s="67">
      <c r="A26" s="80" t="inlineStr">
        <is>
          <t>CPM máximo de equilíbrio (com o CTR da meta)</t>
        </is>
      </c>
      <c r="B26" s="114">
        <f>IF(ISNUMBER($B$24),$B$24*Premissas!$B$58*1000,"preencha o custo")</f>
        <v/>
      </c>
      <c r="C26" s="69" t="inlineStr">
        <is>
          <t>CPC de equilíbrio × CTR da meta × 1.000 impressões.</t>
        </is>
      </c>
    </row>
    <row r="27" ht="15" customHeight="1" s="67">
      <c r="A27" s="115" t="inlineStr">
        <is>
          <t>Custo máximo por quiz concluído (equilíbrio)</t>
        </is>
      </c>
      <c r="B27" s="116">
        <f>IF(ISNUMBER($B$22),IF($F$6&gt;0,$B$22/$F$6,0),"preencha o custo")</f>
        <v/>
      </c>
      <c r="C27" s="89" t="inlineStr">
        <is>
          <t>Margem por 1.000 visitantes ÷ quizzes concluídos. Compare com o custo por Lead do Meta.</t>
        </is>
      </c>
    </row>
    <row r="28" ht="15" customHeight="1" s="67">
      <c r="A28" s="115" t="inlineStr">
        <is>
          <t>Custo máximo por quiz concluído (margem-alvo)</t>
        </is>
      </c>
      <c r="B28" s="116">
        <f>IF(ISNUMBER('Unit economics'!$B$34),IF($F$6&gt;0,$F$9*'Unit economics'!$B$34/$F$6,0),"preencha o custo")</f>
        <v/>
      </c>
      <c r="C28" s="89" t="inlineStr">
        <is>
          <t>Compras × CPA alvo ÷ quizzes concluídos.</t>
        </is>
      </c>
    </row>
    <row r="29" ht="15" customHeight="1" s="67">
      <c r="A29" s="80" t="inlineStr">
        <is>
          <t>CPA de equilíbrio (referência)</t>
        </is>
      </c>
      <c r="B29" s="113">
        <f>'Unit economics'!$B$33</f>
        <v/>
      </c>
      <c r="C29" s="69" t="inlineStr">
        <is>
          <t>Da aba Unit economics.</t>
        </is>
      </c>
    </row>
    <row r="30" ht="15" customHeight="1" s="67">
      <c r="A30" s="80" t="inlineStr">
        <is>
          <t>CPC máximo de equilíbrio pelo LTV</t>
        </is>
      </c>
      <c r="B30" s="114">
        <f>IF(ISNUMBER('Unit economics'!$B$47),IF($F$4&gt;0,$F$9*'Unit economics'!$B$47/$F$4*Premissas!$B$51,0),"preencha o custo")</f>
        <v/>
      </c>
      <c r="C30" s="69" t="inlineStr">
        <is>
          <t>Igual ao CPC de equilíbrio, usando o LTV de margem (retenção da aba Premissas).</t>
        </is>
      </c>
    </row>
  </sheetData>
  <mergeCells count="16">
    <mergeCell ref="C25:H25"/>
    <mergeCell ref="C24:H24"/>
    <mergeCell ref="C19:H19"/>
    <mergeCell ref="C16:H16"/>
    <mergeCell ref="C28:H28"/>
    <mergeCell ref="C21:H21"/>
    <mergeCell ref="C27:H27"/>
    <mergeCell ref="C22:H22"/>
    <mergeCell ref="A2:H2"/>
    <mergeCell ref="C17:H17"/>
    <mergeCell ref="C23:H23"/>
    <mergeCell ref="C18:H18"/>
    <mergeCell ref="C26:H26"/>
    <mergeCell ref="C29:H29"/>
    <mergeCell ref="C30:H30"/>
    <mergeCell ref="C20:H20"/>
  </mergeCells>
  <conditionalFormatting sqref="B17:B30">
    <cfRule type="expression" rank="0" priority="2" equalAverage="0" aboveAverage="0" dxfId="0" text="" percent="0" bottom="0">
      <formula>ISNUMBER(SEARCH("preencha",B17))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66" min="1" max="1"/>
    <col width="30" customWidth="1" style="66" min="2" max="2"/>
    <col width="40" customWidth="1" style="66" min="3" max="3"/>
    <col width="52" customWidth="1" style="66" min="4" max="4"/>
    <col width="34" customWidth="1" style="66" min="5" max="5"/>
    <col width="13" customWidth="1" style="66" min="6" max="8"/>
    <col width="18" customWidth="1" style="66" min="9" max="9"/>
    <col width="14" customWidth="1" style="66" min="10" max="10"/>
    <col width="20" customWidth="1" style="66" min="11" max="11"/>
    <col width="34" customWidth="1" style="66" min="12" max="12"/>
  </cols>
  <sheetData>
    <row r="1" ht="17.35" customHeight="1" s="67">
      <c r="A1" s="68" t="inlineStr">
        <is>
          <t>VitalRise — KPIs do funil, metas e alertas</t>
        </is>
      </c>
    </row>
    <row r="2" ht="27.75" customHeight="1" s="67">
      <c r="A2" s="69" t="inlineStr">
        <is>
          <t>Metas em verde vêm das Premissas (hipóteses) ou do cálculo do modelo. Preencha "Valor medido" na cadência indicada; o status compara com a meta e o limite de alerta. Valores percentuais como fração (0,25 = 25%).</t>
        </is>
      </c>
    </row>
    <row r="3" ht="30" customHeight="1" s="67">
      <c r="A3" s="70" t="inlineStr">
        <is>
          <t>#</t>
        </is>
      </c>
      <c r="B3" s="70" t="inlineStr">
        <is>
          <t>KPI</t>
        </is>
      </c>
      <c r="C3" s="70" t="inlineStr">
        <is>
          <t>Definição</t>
        </is>
      </c>
      <c r="D3" s="70" t="inlineStr">
        <is>
          <t>Evento / fonte exata</t>
        </is>
      </c>
      <c r="E3" s="70" t="inlineStr">
        <is>
          <t>Fórmula</t>
        </is>
      </c>
      <c r="F3" s="70" t="inlineStr">
        <is>
          <t>Direção</t>
        </is>
      </c>
      <c r="G3" s="70" t="inlineStr">
        <is>
          <t>Meta</t>
        </is>
      </c>
      <c r="H3" s="70" t="inlineStr">
        <is>
          <t>Limite de alerta</t>
        </is>
      </c>
      <c r="I3" s="70" t="inlineStr">
        <is>
          <t>Cadência de revisão</t>
        </is>
      </c>
      <c r="J3" s="70" t="inlineStr">
        <is>
          <t>Valor medido (preencher)</t>
        </is>
      </c>
      <c r="K3" s="70" t="inlineStr">
        <is>
          <t>Status</t>
        </is>
      </c>
      <c r="L3" s="70" t="inlineStr">
        <is>
          <t>Origem da meta</t>
        </is>
      </c>
    </row>
    <row r="4" ht="15" customHeight="1" s="67">
      <c r="A4" s="71" t="inlineStr">
        <is>
          <t>Mídia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</row>
    <row r="5" ht="28.5" customHeight="1" s="67">
      <c r="A5" s="103" t="n">
        <v>1</v>
      </c>
      <c r="B5" s="110" t="inlineStr">
        <is>
          <t>CTR do link</t>
        </is>
      </c>
      <c r="C5" s="105" t="inlineStr">
        <is>
          <t>Cliques no link ÷ impressões do anúncio.</t>
        </is>
      </c>
      <c r="D5" s="105" t="inlineStr">
        <is>
          <t>Meta Ads Manager: "Link clicks" e "Impressions"; TikTok Ads Manager: "Clicks" e "Impressions".</t>
        </is>
      </c>
      <c r="E5" s="105" t="inlineStr">
        <is>
          <t>cliques no link ÷ impressões</t>
        </is>
      </c>
      <c r="F5" s="103" t="inlineStr">
        <is>
          <t>maior melhor</t>
        </is>
      </c>
      <c r="G5" s="117">
        <f>Premissas!$B$58</f>
        <v/>
      </c>
      <c r="H5" s="118">
        <f>G5*Premissas!$B$61</f>
        <v/>
      </c>
      <c r="I5" s="103" t="inlineStr">
        <is>
          <t>Diária, por criativo</t>
        </is>
      </c>
      <c r="J5" s="77" t="n"/>
      <c r="K5" s="119">
        <f>IF(J5="","—",IF(OR(NOT(ISNUMBER(G5)),NOT(ISNUMBER(H5))),"meta pendente: preencha o custo",IF(F5="maior melhor",IF(J5&lt;H5,"ALERTA",IF(J5&lt;G5,"abaixo da meta","OK")),IF(J5&gt;H5,"ALERTA",IF(J5&gt;G5,"acima da meta","OK")))))</f>
        <v/>
      </c>
      <c r="L5" s="105" t="inlineStr">
        <is>
          <t>Premissas §11 (HIPÓTESE)</t>
        </is>
      </c>
    </row>
    <row r="6" ht="28.5" customHeight="1" s="67">
      <c r="A6" s="103" t="n">
        <v>2</v>
      </c>
      <c r="B6" s="110" t="inlineStr">
        <is>
          <t>Taxa clique → visita</t>
        </is>
      </c>
      <c r="C6" s="105" t="inlineStr">
        <is>
          <t>Visitas que carregam a landing ÷ cliques no link.</t>
        </is>
      </c>
      <c r="D6" s="105" t="inlineStr">
        <is>
          <t>Meta Ads Manager: "Landing page views" ÷ "Link clicks".</t>
        </is>
      </c>
      <c r="E6" s="105" t="inlineStr">
        <is>
          <t>landing page views ÷ link clicks</t>
        </is>
      </c>
      <c r="F6" s="103" t="inlineStr">
        <is>
          <t>maior melhor</t>
        </is>
      </c>
      <c r="G6" s="117">
        <f>Premissas!$B$51</f>
        <v/>
      </c>
      <c r="H6" s="118">
        <f>G6*Premissas!$B$61</f>
        <v/>
      </c>
      <c r="I6" s="103" t="inlineStr">
        <is>
          <t>Diária</t>
        </is>
      </c>
      <c r="J6" s="77" t="n"/>
      <c r="K6" s="119">
        <f>IF(J6="","—",IF(OR(NOT(ISNUMBER(G6)),NOT(ISNUMBER(H6))),"meta pendente: preencha o custo",IF(F6="maior melhor",IF(J6&lt;H6,"ALERTA",IF(J6&lt;G6,"abaixo da meta","OK")),IF(J6&gt;H6,"ALERTA",IF(J6&gt;G6,"acima da meta","OK")))))</f>
        <v/>
      </c>
      <c r="L6" s="105" t="inlineStr">
        <is>
          <t>Premissas §10 (HIPÓTESE)</t>
        </is>
      </c>
    </row>
    <row r="7" ht="28.5" customHeight="1" s="67">
      <c r="A7" s="103" t="n">
        <v>3</v>
      </c>
      <c r="B7" s="110" t="inlineStr">
        <is>
          <t>CPC do link</t>
        </is>
      </c>
      <c r="C7" s="105" t="inlineStr">
        <is>
          <t>Gasto ÷ cliques no link.</t>
        </is>
      </c>
      <c r="D7" s="105" t="inlineStr">
        <is>
          <t>Meta/TikTok Ads Manager: "Amount spent" e "Link clicks".</t>
        </is>
      </c>
      <c r="E7" s="105" t="inlineStr">
        <is>
          <t>gasto ÷ cliques no link</t>
        </is>
      </c>
      <c r="F7" s="103" t="inlineStr">
        <is>
          <t>menor melhor</t>
        </is>
      </c>
      <c r="G7" s="120">
        <f>Funil!$B$25</f>
        <v/>
      </c>
      <c r="H7" s="120">
        <f>Funil!$B$24</f>
        <v/>
      </c>
      <c r="I7" s="103" t="inlineStr">
        <is>
          <t>Diária</t>
        </is>
      </c>
      <c r="J7" s="74" t="n"/>
      <c r="K7" s="119">
        <f>IF(J7="","—",IF(OR(NOT(ISNUMBER(G7)),NOT(ISNUMBER(H7))),"meta pendente: preencha o custo",IF(F7="maior melhor",IF(J7&lt;H7,"ALERTA",IF(J7&lt;G7,"abaixo da meta","OK")),IF(J7&gt;H7,"ALERTA",IF(J7&gt;G7,"acima da meta","OK")))))</f>
        <v/>
      </c>
      <c r="L7" s="105" t="inlineStr">
        <is>
          <t>Funil: CPC na margem-alvo; alerta = CPC de equilíbrio</t>
        </is>
      </c>
    </row>
    <row r="8" ht="28.5" customHeight="1" s="67">
      <c r="A8" s="103" t="n">
        <v>4</v>
      </c>
      <c r="B8" s="110" t="inlineStr">
        <is>
          <t>Custo por quiz concluído</t>
        </is>
      </c>
      <c r="C8" s="105" t="inlineStr">
        <is>
          <t>Gasto ÷ quizzes concluídos.</t>
        </is>
      </c>
      <c r="D8" s="105" t="inlineStr">
        <is>
          <t>Gasto: Ads Manager. Quizzes: Supabase quiz_responses (contagem no período) ou evento Lead do Meta.</t>
        </is>
      </c>
      <c r="E8" s="105" t="inlineStr">
        <is>
          <t>gasto ÷ count(quiz_responses)</t>
        </is>
      </c>
      <c r="F8" s="103" t="inlineStr">
        <is>
          <t>menor melhor</t>
        </is>
      </c>
      <c r="G8" s="120">
        <f>Funil!$B$28</f>
        <v/>
      </c>
      <c r="H8" s="120">
        <f>Funil!$B$27</f>
        <v/>
      </c>
      <c r="I8" s="103" t="inlineStr">
        <is>
          <t>Diária</t>
        </is>
      </c>
      <c r="J8" s="74" t="n"/>
      <c r="K8" s="119">
        <f>IF(J8="","—",IF(OR(NOT(ISNUMBER(G8)),NOT(ISNUMBER(H8))),"meta pendente: preencha o custo",IF(F8="maior melhor",IF(J8&lt;H8,"ALERTA",IF(J8&lt;G8,"abaixo da meta","OK")),IF(J8&gt;H8,"ALERTA",IF(J8&gt;G8,"acima da meta","OK")))))</f>
        <v/>
      </c>
      <c r="L8" s="105" t="inlineStr">
        <is>
          <t>Funil: margem-alvo; alerta = equilíbrio</t>
        </is>
      </c>
    </row>
    <row r="9" ht="42" customHeight="1" s="67">
      <c r="A9" s="103" t="n">
        <v>5</v>
      </c>
      <c r="B9" s="110" t="inlineStr">
        <is>
          <t>CPA (custo por compra)</t>
        </is>
      </c>
      <c r="C9" s="105" t="inlineStr">
        <is>
          <t>Gasto ÷ compras pagas.</t>
        </is>
      </c>
      <c r="D9" s="105" t="inlineStr">
        <is>
          <t>Gasto: Ads Manager. Compras: Stripe (Checkout Sessions pagas, sem metadata upsell) ou Supabase orders (status = 'paid').</t>
        </is>
      </c>
      <c r="E9" s="105" t="inlineStr">
        <is>
          <t>gasto ÷ count(orders)</t>
        </is>
      </c>
      <c r="F9" s="103" t="inlineStr">
        <is>
          <t>menor melhor</t>
        </is>
      </c>
      <c r="G9" s="120">
        <f>'Unit economics'!$B$34</f>
        <v/>
      </c>
      <c r="H9" s="120">
        <f>'Unit economics'!$B$33</f>
        <v/>
      </c>
      <c r="I9" s="103" t="inlineStr">
        <is>
          <t>Diária; decisão de escala semanal</t>
        </is>
      </c>
      <c r="J9" s="74" t="n"/>
      <c r="K9" s="119">
        <f>IF(J9="","—",IF(OR(NOT(ISNUMBER(G9)),NOT(ISNUMBER(H9))),"meta pendente: preencha o custo",IF(F9="maior melhor",IF(J9&lt;H9,"ALERTA",IF(J9&lt;G9,"abaixo da meta","OK")),IF(J9&gt;H9,"ALERTA",IF(J9&gt;G9,"acima da meta","OK")))))</f>
        <v/>
      </c>
      <c r="L9" s="105" t="inlineStr">
        <is>
          <t>Unit economics: CPA alvo; alerta = CPA de equilíbrio</t>
        </is>
      </c>
    </row>
    <row r="10" ht="28.5" customHeight="1" s="67">
      <c r="A10" s="103" t="n">
        <v>6</v>
      </c>
      <c r="B10" s="110" t="inlineStr">
        <is>
          <t>ROAS — receita do Stripe</t>
        </is>
      </c>
      <c r="C10" s="105" t="inlineStr">
        <is>
          <t>Receita bruta da 1ª compra (pedido + upsells) ÷ gasto.</t>
        </is>
      </c>
      <c r="D10" s="105" t="inlineStr">
        <is>
          <t>Stripe: cobranças do período (pedidos + PaymentIntents/Subscriptions com metadata upsell). Gasto: Ads Manager.</t>
        </is>
      </c>
      <c r="E10" s="105" t="inlineStr">
        <is>
          <t>receita bruta Stripe ÷ gasto</t>
        </is>
      </c>
      <c r="F10" s="103" t="inlineStr">
        <is>
          <t>maior melhor</t>
        </is>
      </c>
      <c r="G10" s="121">
        <f>'Unit economics'!$B$37</f>
        <v/>
      </c>
      <c r="H10" s="121">
        <f>'Unit economics'!$B$35</f>
        <v/>
      </c>
      <c r="I10" s="103" t="inlineStr">
        <is>
          <t>Semanal</t>
        </is>
      </c>
      <c r="J10" s="122" t="n"/>
      <c r="K10" s="119">
        <f>IF(J10="","—",IF(OR(NOT(ISNUMBER(G10)),NOT(ISNUMBER(H10))),"meta pendente: preencha o custo",IF(F10="maior melhor",IF(J10&lt;H10,"ALERTA",IF(J10&lt;G10,"abaixo da meta","OK")),IF(J10&gt;H10,"ALERTA",IF(J10&gt;G10,"acima da meta","OK")))))</f>
        <v/>
      </c>
      <c r="L10" s="105" t="inlineStr">
        <is>
          <t>Unit economics: ROAS alvo; alerta = ROAS de equilíbrio</t>
        </is>
      </c>
    </row>
    <row r="11" ht="28.5" customHeight="1" s="67">
      <c r="A11" s="103" t="n">
        <v>7</v>
      </c>
      <c r="B11" s="110" t="inlineStr">
        <is>
          <t>ROAS reportado pelo Meta (Pixel)</t>
        </is>
      </c>
      <c r="C11" s="105" t="inlineStr">
        <is>
          <t>Valor dos eventos Purchase ÷ gasto. Não inclui upsells.</t>
        </is>
      </c>
      <c r="D11" s="105" t="inlineStr">
        <is>
          <t>Meta Ads Manager: "Purchase ROAS". O value do purchase é o valor do pedido (components/checkout/ThankYou.tsx).</t>
        </is>
      </c>
      <c r="E11" s="105" t="inlineStr">
        <is>
          <t>purchase value ÷ gasto</t>
        </is>
      </c>
      <c r="F11" s="103" t="inlineStr">
        <is>
          <t>maior melhor</t>
        </is>
      </c>
      <c r="G11" s="121">
        <f>'Unit economics'!$B$38</f>
        <v/>
      </c>
      <c r="H11" s="121">
        <f>'Unit economics'!$B$36</f>
        <v/>
      </c>
      <c r="I11" s="103" t="inlineStr">
        <is>
          <t>Diária</t>
        </is>
      </c>
      <c r="J11" s="122" t="n"/>
      <c r="K11" s="119">
        <f>IF(J11="","—",IF(OR(NOT(ISNUMBER(G11)),NOT(ISNUMBER(H11))),"meta pendente: preencha o custo",IF(F11="maior melhor",IF(J11&lt;H11,"ALERTA",IF(J11&lt;G11,"abaixo da meta","OK")),IF(J11&gt;H11,"ALERTA",IF(J11&gt;G11,"acima da meta","OK")))))</f>
        <v/>
      </c>
      <c r="L11" s="105" t="inlineStr">
        <is>
          <t>Unit economics: ROAS alvo (Pixel); alerta = equilíbrio (Pixel)</t>
        </is>
      </c>
    </row>
    <row r="12" ht="15" customHeight="1" s="67">
      <c r="A12" s="71" t="inlineStr">
        <is>
          <t>Funil</t>
        </is>
      </c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 ht="28.5" customHeight="1" s="67">
      <c r="A13" s="103" t="n">
        <v>8</v>
      </c>
      <c r="B13" s="110" t="inlineStr">
        <is>
          <t>Início do quiz</t>
        </is>
      </c>
      <c r="C13" s="105" t="inlineStr">
        <is>
          <t>Visitantes que abrem a 1ª pergunta.</t>
        </is>
      </c>
      <c r="D13" s="105" t="inlineStr">
        <is>
          <t>GA4/PostHog: quiz_start ÷ sessões com landing /quiz. Meta: quiz_start (trackCustom).</t>
        </is>
      </c>
      <c r="E13" s="105" t="inlineStr">
        <is>
          <t>quiz_start ÷ visitantes</t>
        </is>
      </c>
      <c r="F13" s="103" t="inlineStr">
        <is>
          <t>maior melhor</t>
        </is>
      </c>
      <c r="G13" s="117">
        <f>Premissas!$B$52</f>
        <v/>
      </c>
      <c r="H13" s="118">
        <f>G13*Premissas!$B$61</f>
        <v/>
      </c>
      <c r="I13" s="103" t="inlineStr">
        <is>
          <t>Semanal</t>
        </is>
      </c>
      <c r="J13" s="77" t="n"/>
      <c r="K13" s="119">
        <f>IF(J13="","—",IF(OR(NOT(ISNUMBER(G13)),NOT(ISNUMBER(H13))),"meta pendente: preencha o custo",IF(F13="maior melhor",IF(J13&lt;H13,"ALERTA",IF(J13&lt;G13,"abaixo da meta","OK")),IF(J13&gt;H13,"ALERTA",IF(J13&gt;G13,"acima da meta","OK")))))</f>
        <v/>
      </c>
      <c r="L13" s="105" t="inlineStr">
        <is>
          <t>Premissas §10 (HIPÓTESE)</t>
        </is>
      </c>
    </row>
    <row r="14" ht="28.5" customHeight="1" s="67">
      <c r="A14" s="103" t="n">
        <v>9</v>
      </c>
      <c r="B14" s="110" t="inlineStr">
        <is>
          <t>Conclusão do quiz</t>
        </is>
      </c>
      <c r="C14" s="105" t="inlineStr">
        <is>
          <t>Quem iniciou e terminou as 8 perguntas (+ contato opcional).</t>
        </is>
      </c>
      <c r="D14" s="105" t="inlineStr">
        <is>
          <t>GA4/PostHog: quiz_complete ÷ quiz_start. Meta: Lead. Supabase: quiz_responses.</t>
        </is>
      </c>
      <c r="E14" s="105" t="inlineStr">
        <is>
          <t>quiz_complete ÷ quiz_start</t>
        </is>
      </c>
      <c r="F14" s="103" t="inlineStr">
        <is>
          <t>maior melhor</t>
        </is>
      </c>
      <c r="G14" s="117">
        <f>Premissas!$B$53</f>
        <v/>
      </c>
      <c r="H14" s="118">
        <f>G14*Premissas!$B$61</f>
        <v/>
      </c>
      <c r="I14" s="103" t="inlineStr">
        <is>
          <t>Semanal</t>
        </is>
      </c>
      <c r="J14" s="77" t="n"/>
      <c r="K14" s="119">
        <f>IF(J14="","—",IF(OR(NOT(ISNUMBER(G14)),NOT(ISNUMBER(H14))),"meta pendente: preencha o custo",IF(F14="maior melhor",IF(J14&lt;H14,"ALERTA",IF(J14&lt;G14,"abaixo da meta","OK")),IF(J14&gt;H14,"ALERTA",IF(J14&gt;G14,"acima da meta","OK")))))</f>
        <v/>
      </c>
      <c r="L14" s="105" t="inlineStr">
        <is>
          <t>Premissas §10 (HIPÓTESE)</t>
        </is>
      </c>
    </row>
    <row r="15" ht="28.5" customHeight="1" s="67">
      <c r="A15" s="103" t="n">
        <v>10</v>
      </c>
      <c r="B15" s="110" t="inlineStr">
        <is>
          <t>Oferta vista</t>
        </is>
      </c>
      <c r="C15" s="105" t="inlineStr">
        <is>
          <t>Quem concluiu o quiz e chegou à oferta (depois de /analyzing).</t>
        </is>
      </c>
      <c r="D15" s="105" t="inlineStr">
        <is>
          <t>GA4/PostHog: view_offer ÷ quiz_complete. Meta: ViewContent.</t>
        </is>
      </c>
      <c r="E15" s="105" t="inlineStr">
        <is>
          <t>view_offer ÷ quiz_complete</t>
        </is>
      </c>
      <c r="F15" s="103" t="inlineStr">
        <is>
          <t>maior melhor</t>
        </is>
      </c>
      <c r="G15" s="117">
        <f>Premissas!$B$54</f>
        <v/>
      </c>
      <c r="H15" s="118">
        <f>G15*Premissas!$B$61</f>
        <v/>
      </c>
      <c r="I15" s="103" t="inlineStr">
        <is>
          <t>Semanal</t>
        </is>
      </c>
      <c r="J15" s="77" t="n"/>
      <c r="K15" s="119">
        <f>IF(J15="","—",IF(OR(NOT(ISNUMBER(G15)),NOT(ISNUMBER(H15))),"meta pendente: preencha o custo",IF(F15="maior melhor",IF(J15&lt;H15,"ALERTA",IF(J15&lt;G15,"abaixo da meta","OK")),IF(J15&gt;H15,"ALERTA",IF(J15&gt;G15,"acima da meta","OK")))))</f>
        <v/>
      </c>
      <c r="L15" s="105" t="inlineStr">
        <is>
          <t>Premissas §10 (HIPÓTESE)</t>
        </is>
      </c>
    </row>
    <row r="16" ht="28.5" customHeight="1" s="67">
      <c r="A16" s="103" t="n">
        <v>11</v>
      </c>
      <c r="B16" s="110" t="inlineStr">
        <is>
          <t>Início do checkout</t>
        </is>
      </c>
      <c r="C16" s="105" t="inlineStr">
        <is>
          <t>Quem viu a oferta e abriu o checkout.</t>
        </is>
      </c>
      <c r="D16" s="105" t="inlineStr">
        <is>
          <t>GA4/PostHog: begin_checkout ÷ view_offer. Meta: InitiateCheckout.</t>
        </is>
      </c>
      <c r="E16" s="105" t="inlineStr">
        <is>
          <t>begin_checkout ÷ view_offer</t>
        </is>
      </c>
      <c r="F16" s="103" t="inlineStr">
        <is>
          <t>maior melhor</t>
        </is>
      </c>
      <c r="G16" s="117">
        <f>Premissas!$B$55</f>
        <v/>
      </c>
      <c r="H16" s="118">
        <f>G16*Premissas!$B$61</f>
        <v/>
      </c>
      <c r="I16" s="103" t="inlineStr">
        <is>
          <t>Semanal</t>
        </is>
      </c>
      <c r="J16" s="77" t="n"/>
      <c r="K16" s="119">
        <f>IF(J16="","—",IF(OR(NOT(ISNUMBER(G16)),NOT(ISNUMBER(H16))),"meta pendente: preencha o custo",IF(F16="maior melhor",IF(J16&lt;H16,"ALERTA",IF(J16&lt;G16,"abaixo da meta","OK")),IF(J16&gt;H16,"ALERTA",IF(J16&gt;G16,"acima da meta","OK")))))</f>
        <v/>
      </c>
      <c r="L16" s="105" t="inlineStr">
        <is>
          <t>Premissas §10 (HIPÓTESE)</t>
        </is>
      </c>
    </row>
    <row r="17" ht="28.5" customHeight="1" s="67">
      <c r="A17" s="103" t="n">
        <v>12</v>
      </c>
      <c r="B17" s="110" t="inlineStr">
        <is>
          <t>Conversão do checkout</t>
        </is>
      </c>
      <c r="C17" s="105" t="inlineStr">
        <is>
          <t>Compras pagas ÷ inícios de checkout.</t>
        </is>
      </c>
      <c r="D17" s="105" t="inlineStr">
        <is>
          <t>Compras: Stripe/Supabase orders. Inícios: GA4/PostHog begin_checkout.</t>
        </is>
      </c>
      <c r="E17" s="105" t="inlineStr">
        <is>
          <t>count(orders) ÷ begin_checkout</t>
        </is>
      </c>
      <c r="F17" s="103" t="inlineStr">
        <is>
          <t>maior melhor</t>
        </is>
      </c>
      <c r="G17" s="117">
        <f>Premissas!$B$56</f>
        <v/>
      </c>
      <c r="H17" s="118">
        <f>G17*Premissas!$B$61</f>
        <v/>
      </c>
      <c r="I17" s="103" t="inlineStr">
        <is>
          <t>Semanal</t>
        </is>
      </c>
      <c r="J17" s="77" t="n"/>
      <c r="K17" s="119">
        <f>IF(J17="","—",IF(OR(NOT(ISNUMBER(G17)),NOT(ISNUMBER(H17))),"meta pendente: preencha o custo",IF(F17="maior melhor",IF(J17&lt;H17,"ALERTA",IF(J17&lt;G17,"abaixo da meta","OK")),IF(J17&gt;H17,"ALERTA",IF(J17&gt;G17,"acima da meta","OK")))))</f>
        <v/>
      </c>
      <c r="L17" s="105" t="inlineStr">
        <is>
          <t>Premissas §10 (HIPÓTESE)</t>
        </is>
      </c>
    </row>
    <row r="18" ht="15" customHeight="1" s="67">
      <c r="A18" s="103" t="n">
        <v>13</v>
      </c>
      <c r="B18" s="110" t="inlineStr">
        <is>
          <t>Conversão visitante → compra</t>
        </is>
      </c>
      <c r="C18" s="105" t="inlineStr">
        <is>
          <t>Compras pagas ÷ visitantes na landing.</t>
        </is>
      </c>
      <c r="D18" s="105" t="inlineStr">
        <is>
          <t>Supabase orders ÷ GA4 sessões com landing /quiz.</t>
        </is>
      </c>
      <c r="E18" s="105" t="inlineStr">
        <is>
          <t>count(orders) ÷ visitantes</t>
        </is>
      </c>
      <c r="F18" s="103" t="inlineStr">
        <is>
          <t>maior melhor</t>
        </is>
      </c>
      <c r="G18" s="123">
        <f>Funil!$B$17</f>
        <v/>
      </c>
      <c r="H18" s="124">
        <f>G18*Premissas!$B$61</f>
        <v/>
      </c>
      <c r="I18" s="103" t="inlineStr">
        <is>
          <t>Semanal</t>
        </is>
      </c>
      <c r="J18" s="125" t="n"/>
      <c r="K18" s="119">
        <f>IF(J18="","—",IF(OR(NOT(ISNUMBER(G18)),NOT(ISNUMBER(H18))),"meta pendente: preencha o custo",IF(F18="maior melhor",IF(J18&lt;H18,"ALERTA",IF(J18&lt;G18,"abaixo da meta","OK")),IF(J18&gt;H18,"ALERTA",IF(J18&gt;G18,"acima da meta","OK")))))</f>
        <v/>
      </c>
      <c r="L18" s="105" t="inlineStr">
        <is>
          <t>Funil (produto das taxas)</t>
        </is>
      </c>
    </row>
    <row r="19" ht="15" customHeight="1" s="67">
      <c r="A19" s="103" t="n">
        <v>14</v>
      </c>
      <c r="B19" s="110" t="inlineStr">
        <is>
          <t>Receita por visitante (RPV)</t>
        </is>
      </c>
      <c r="C19" s="105" t="inlineStr">
        <is>
          <t>Receita bruta da 1ª compra ÷ visitantes.</t>
        </is>
      </c>
      <c r="D19" s="105" t="inlineStr">
        <is>
          <t>Receita: Stripe. Visitantes: GA4 sessões com landing /quiz.</t>
        </is>
      </c>
      <c r="E19" s="105" t="inlineStr">
        <is>
          <t>receita bruta ÷ visitantes</t>
        </is>
      </c>
      <c r="F19" s="103" t="inlineStr">
        <is>
          <t>maior melhor</t>
        </is>
      </c>
      <c r="G19" s="120">
        <f>Funil!$B$20</f>
        <v/>
      </c>
      <c r="H19" s="126">
        <f>G19*Premissas!$B$61</f>
        <v/>
      </c>
      <c r="I19" s="103" t="inlineStr">
        <is>
          <t>Semanal</t>
        </is>
      </c>
      <c r="J19" s="74" t="n"/>
      <c r="K19" s="119">
        <f>IF(J19="","—",IF(OR(NOT(ISNUMBER(G19)),NOT(ISNUMBER(H19))),"meta pendente: preencha o custo",IF(F19="maior melhor",IF(J19&lt;H19,"ALERTA",IF(J19&lt;G19,"abaixo da meta","OK")),IF(J19&gt;H19,"ALERTA",IF(J19&gt;G19,"acima da meta","OK")))))</f>
        <v/>
      </c>
      <c r="L19" s="105" t="inlineStr">
        <is>
          <t>Funil (calculado)</t>
        </is>
      </c>
    </row>
    <row r="20" ht="28.5" customHeight="1" s="67">
      <c r="A20" s="103" t="n">
        <v>15</v>
      </c>
      <c r="B20" s="110" t="inlineStr">
        <is>
          <t>Captura de e-mail no quiz</t>
        </is>
      </c>
      <c r="C20" s="105" t="inlineStr">
        <is>
          <t>Respostas do quiz com e-mail ÷ respostas.</t>
        </is>
      </c>
      <c r="D20" s="105" t="inlineStr">
        <is>
          <t>Supabase quiz_responses: count(email is not null) ÷ count(*).</t>
        </is>
      </c>
      <c r="E20" s="105" t="inlineStr">
        <is>
          <t>com e-mail ÷ total</t>
        </is>
      </c>
      <c r="F20" s="103" t="inlineStr">
        <is>
          <t>maior melhor</t>
        </is>
      </c>
      <c r="G20" s="117">
        <f>Premissas!$B$60</f>
        <v/>
      </c>
      <c r="H20" s="118">
        <f>G20*Premissas!$B$61</f>
        <v/>
      </c>
      <c r="I20" s="103" t="inlineStr">
        <is>
          <t>Semanal</t>
        </is>
      </c>
      <c r="J20" s="77" t="n"/>
      <c r="K20" s="119">
        <f>IF(J20="","—",IF(OR(NOT(ISNUMBER(G20)),NOT(ISNUMBER(H20))),"meta pendente: preencha o custo",IF(F20="maior melhor",IF(J20&lt;H20,"ALERTA",IF(J20&lt;G20,"abaixo da meta","OK")),IF(J20&gt;H20,"ALERTA",IF(J20&gt;G20,"acima da meta","OK")))))</f>
        <v/>
      </c>
      <c r="L20" s="105" t="inlineStr">
        <is>
          <t>Premissas §11 (HIPÓTESE)</t>
        </is>
      </c>
    </row>
    <row r="21" ht="15" customHeight="1" s="67">
      <c r="A21" s="71" t="inlineStr">
        <is>
          <t>Monetização</t>
        </is>
      </c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</row>
    <row r="22" ht="28.5" customHeight="1" s="67">
      <c r="A22" s="103" t="n">
        <v>16</v>
      </c>
      <c r="B22" s="110" t="inlineStr">
        <is>
          <t>Ticket médio (AOV)</t>
        </is>
      </c>
      <c r="C22" s="105" t="inlineStr">
        <is>
          <t>Valor cobrado por pedido (após cupom, sem upsells).</t>
        </is>
      </c>
      <c r="D22" s="105" t="inlineStr">
        <is>
          <t>Supabase orders: avg(amount_cents) ÷ 100, com currency = 'usd'. Stripe: amount_total da Checkout Session.</t>
        </is>
      </c>
      <c r="E22" s="105" t="inlineStr">
        <is>
          <t>soma(amount_cents) ÷ 100 ÷ pedidos</t>
        </is>
      </c>
      <c r="F22" s="103" t="inlineStr">
        <is>
          <t>maior melhor</t>
        </is>
      </c>
      <c r="G22" s="120">
        <f>'Unit economics'!$B$11</f>
        <v/>
      </c>
      <c r="H22" s="126">
        <f>G22*Premissas!$B$61</f>
        <v/>
      </c>
      <c r="I22" s="103" t="inlineStr">
        <is>
          <t>Semanal</t>
        </is>
      </c>
      <c r="J22" s="74" t="n"/>
      <c r="K22" s="119">
        <f>IF(J22="","—",IF(OR(NOT(ISNUMBER(G22)),NOT(ISNUMBER(H22))),"meta pendente: preencha o custo",IF(F22="maior melhor",IF(J22&lt;H22,"ALERTA",IF(J22&lt;G22,"abaixo da meta","OK")),IF(J22&gt;H22,"ALERTA",IF(J22&gt;G22,"acima da meta","OK")))))</f>
        <v/>
      </c>
      <c r="L22" s="105" t="inlineStr">
        <is>
          <t>Unit economics (calculado)</t>
        </is>
      </c>
    </row>
    <row r="23" ht="15" customHeight="1" s="67">
      <c r="A23" s="103" t="n">
        <v>17</v>
      </c>
      <c r="B23" s="110" t="inlineStr">
        <is>
          <t>Participação de kits (Kit 3 + Kit 6)</t>
        </is>
      </c>
      <c r="C23" s="105" t="inlineStr">
        <is>
          <t>Pedidos de Kit 3 ou Kit 6 ÷ pedidos.</t>
        </is>
      </c>
      <c r="D23" s="105" t="inlineStr">
        <is>
          <t>Supabase orders.plan in ('kit3', 'kit6').</t>
        </is>
      </c>
      <c r="E23" s="105" t="inlineStr">
        <is>
          <t>pedidos de kit ÷ pedidos</t>
        </is>
      </c>
      <c r="F23" s="103" t="inlineStr">
        <is>
          <t>maior melhor</t>
        </is>
      </c>
      <c r="G23" s="117">
        <f>Premissas!$B$24+Premissas!$B$25</f>
        <v/>
      </c>
      <c r="H23" s="118">
        <f>G23*Premissas!$B$61</f>
        <v/>
      </c>
      <c r="I23" s="103" t="inlineStr">
        <is>
          <t>Semanal</t>
        </is>
      </c>
      <c r="J23" s="77" t="n"/>
      <c r="K23" s="119">
        <f>IF(J23="","—",IF(OR(NOT(ISNUMBER(G23)),NOT(ISNUMBER(H23))),"meta pendente: preencha o custo",IF(F23="maior melhor",IF(J23&lt;H23,"ALERTA",IF(J23&lt;G23,"abaixo da meta","OK")),IF(J23&gt;H23,"ALERTA",IF(J23&gt;G23,"acima da meta","OK")))))</f>
        <v/>
      </c>
      <c r="L23" s="105" t="inlineStr">
        <is>
          <t>Premissas §4 (HIPÓTESE)</t>
        </is>
      </c>
    </row>
    <row r="24" ht="15" customHeight="1" s="67">
      <c r="A24" s="103" t="n">
        <v>18</v>
      </c>
      <c r="B24" s="110" t="inlineStr">
        <is>
          <t>Take rate do order bump</t>
        </is>
      </c>
      <c r="C24" s="105" t="inlineStr">
        <is>
          <t>Pedidos com o bump ÷ pedidos.</t>
        </is>
      </c>
      <c r="D24" s="105" t="inlineStr">
        <is>
          <t>Supabase orders.bump = true.</t>
        </is>
      </c>
      <c r="E24" s="105" t="inlineStr">
        <is>
          <t>count(bump) ÷ count(orders)</t>
        </is>
      </c>
      <c r="F24" s="103" t="inlineStr">
        <is>
          <t>maior melhor</t>
        </is>
      </c>
      <c r="G24" s="117">
        <f>Premissas!$B$27</f>
        <v/>
      </c>
      <c r="H24" s="118">
        <f>G24*Premissas!$B$61</f>
        <v/>
      </c>
      <c r="I24" s="103" t="inlineStr">
        <is>
          <t>Semanal</t>
        </is>
      </c>
      <c r="J24" s="77" t="n"/>
      <c r="K24" s="119">
        <f>IF(J24="","—",IF(OR(NOT(ISNUMBER(G24)),NOT(ISNUMBER(H24))),"meta pendente: preencha o custo",IF(F24="maior melhor",IF(J24&lt;H24,"ALERTA",IF(J24&lt;G24,"abaixo da meta","OK")),IF(J24&gt;H24,"ALERTA",IF(J24&gt;G24,"acima da meta","OK")))))</f>
        <v/>
      </c>
      <c r="L24" s="105" t="inlineStr">
        <is>
          <t>Premissas §4 (HIPÓTESE)</t>
        </is>
      </c>
    </row>
    <row r="25" ht="55.5" customHeight="1" s="67">
      <c r="A25" s="103" t="n">
        <v>19</v>
      </c>
      <c r="B25" s="110" t="inlineStr">
        <is>
          <t>Take rate do upsell 1</t>
        </is>
      </c>
      <c r="C25" s="105" t="inlineStr">
        <is>
          <t>Aceites do Kit 6 único ÷ compradores de compra única de 1 unidade ou Kit 3.</t>
        </is>
      </c>
      <c r="D25" s="105" t="inlineStr">
        <is>
          <t>GA4/PostHog/Meta: upsell_accepted com offer = kit6. Stripe: PaymentIntents com metadata upsell = kit6 (inclui o caminho com 3-D Secure, que não dispara o evento). Supabase orders.upsells.</t>
        </is>
      </c>
      <c r="E25" s="105" t="inlineStr">
        <is>
          <t>aceites kit6 ÷ pedidos single/kit3</t>
        </is>
      </c>
      <c r="F25" s="103" t="inlineStr">
        <is>
          <t>maior melhor</t>
        </is>
      </c>
      <c r="G25" s="117">
        <f>Premissas!$B$28</f>
        <v/>
      </c>
      <c r="H25" s="118">
        <f>G25*Premissas!$B$61</f>
        <v/>
      </c>
      <c r="I25" s="103" t="inlineStr">
        <is>
          <t>Semanal</t>
        </is>
      </c>
      <c r="J25" s="77" t="n"/>
      <c r="K25" s="119">
        <f>IF(J25="","—",IF(OR(NOT(ISNUMBER(G25)),NOT(ISNUMBER(H25))),"meta pendente: preencha o custo",IF(F25="maior melhor",IF(J25&lt;H25,"ALERTA",IF(J25&lt;G25,"abaixo da meta","OK")),IF(J25&gt;H25,"ALERTA",IF(J25&gt;G25,"acima da meta","OK")))))</f>
        <v/>
      </c>
      <c r="L25" s="105" t="inlineStr">
        <is>
          <t>Premissas §4 (HIPÓTESE)</t>
        </is>
      </c>
    </row>
    <row r="26" ht="28.5" customHeight="1" s="67">
      <c r="A26" s="103" t="n">
        <v>20</v>
      </c>
      <c r="B26" s="110" t="inlineStr">
        <is>
          <t>Take rate do upsell 2</t>
        </is>
      </c>
      <c r="C26" s="105" t="inlineStr">
        <is>
          <t>Assinaturas do upsell ÷ compradores de 1 unidade ou Kit 3.</t>
        </is>
      </c>
      <c r="D26" s="105" t="inlineStr">
        <is>
          <t>GA4/PostHog/Meta: upsell_accepted com offer = subscription. Stripe: Subscriptions com metadata upsell = subscription.</t>
        </is>
      </c>
      <c r="E26" s="105" t="inlineStr">
        <is>
          <t>aceites subscription ÷ pedidos single/kit3</t>
        </is>
      </c>
      <c r="F26" s="103" t="inlineStr">
        <is>
          <t>maior melhor</t>
        </is>
      </c>
      <c r="G26" s="117">
        <f>Premissas!$B$29</f>
        <v/>
      </c>
      <c r="H26" s="118">
        <f>G26*Premissas!$B$61</f>
        <v/>
      </c>
      <c r="I26" s="103" t="inlineStr">
        <is>
          <t>Semanal</t>
        </is>
      </c>
      <c r="J26" s="77" t="n"/>
      <c r="K26" s="119">
        <f>IF(J26="","—",IF(OR(NOT(ISNUMBER(G26)),NOT(ISNUMBER(H26))),"meta pendente: preencha o custo",IF(F26="maior melhor",IF(J26&lt;H26,"ALERTA",IF(J26&lt;G26,"abaixo da meta","OK")),IF(J26&gt;H26,"ALERTA",IF(J26&gt;G26,"acima da meta","OK")))))</f>
        <v/>
      </c>
      <c r="L26" s="105" t="inlineStr">
        <is>
          <t>Premissas §4 (HIPÓTESE)</t>
        </is>
      </c>
    </row>
    <row r="27" ht="28.5" customHeight="1" s="67">
      <c r="A27" s="103" t="n">
        <v>21</v>
      </c>
      <c r="B27" s="110" t="inlineStr">
        <is>
          <t>Uso do cupom VITAL10</t>
        </is>
      </c>
      <c r="C27" s="105" t="inlineStr">
        <is>
          <t>Pedidos com o cupom ÷ pedidos (mais uso = menos margem que o previsto).</t>
        </is>
      </c>
      <c r="D27" s="105" t="inlineStr">
        <is>
          <t>Stripe: Checkout Sessions com promotion code VITAL10 (total_details.amount_discount &gt; 0).</t>
        </is>
      </c>
      <c r="E27" s="105" t="inlineStr">
        <is>
          <t>pedidos com cupom ÷ pedidos</t>
        </is>
      </c>
      <c r="F27" s="103" t="inlineStr">
        <is>
          <t>menor melhor</t>
        </is>
      </c>
      <c r="G27" s="117">
        <f>Premissas!$B$21</f>
        <v/>
      </c>
      <c r="H27" s="118">
        <f>G27*Premissas!$B$62</f>
        <v/>
      </c>
      <c r="I27" s="103" t="inlineStr">
        <is>
          <t>Semanal</t>
        </is>
      </c>
      <c r="J27" s="77" t="n"/>
      <c r="K27" s="119">
        <f>IF(J27="","—",IF(OR(NOT(ISNUMBER(G27)),NOT(ISNUMBER(H27))),"meta pendente: preencha o custo",IF(F27="maior melhor",IF(J27&lt;H27,"ALERTA",IF(J27&lt;G27,"abaixo da meta","OK")),IF(J27&gt;H27,"ALERTA",IF(J27&gt;G27,"acima da meta","OK")))))</f>
        <v/>
      </c>
      <c r="L27" s="105" t="inlineStr">
        <is>
          <t>Premissas §3 (HIPÓTESE)</t>
        </is>
      </c>
    </row>
    <row r="28" ht="15" customHeight="1" s="67">
      <c r="A28" s="71" t="inlineStr">
        <is>
          <t>Pós-venda</t>
        </is>
      </c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</row>
    <row r="29" ht="28.5" customHeight="1" s="67">
      <c r="A29" s="103" t="n">
        <v>22</v>
      </c>
      <c r="B29" s="110" t="inlineStr">
        <is>
          <t>Taxa de reembolso</t>
        </is>
      </c>
      <c r="C29" s="105" t="inlineStr">
        <is>
          <t>Valor reembolsado ÷ receita da 1ª compra (garantia de 30 dias).</t>
        </is>
      </c>
      <c r="D29" s="105" t="inlineStr">
        <is>
          <t>Stripe: Refunds / relatório de saldo. O webhook não grava reembolsos em orders.status.</t>
        </is>
      </c>
      <c r="E29" s="105" t="inlineStr">
        <is>
          <t>reembolsos ÷ receita bruta</t>
        </is>
      </c>
      <c r="F29" s="103" t="inlineStr">
        <is>
          <t>menor melhor</t>
        </is>
      </c>
      <c r="G29" s="117">
        <f>Premissas!$B$45</f>
        <v/>
      </c>
      <c r="H29" s="118">
        <f>G29*Premissas!$B$62</f>
        <v/>
      </c>
      <c r="I29" s="103" t="inlineStr">
        <is>
          <t>Semanal</t>
        </is>
      </c>
      <c r="J29" s="77" t="n"/>
      <c r="K29" s="119">
        <f>IF(J29="","—",IF(OR(NOT(ISNUMBER(G29)),NOT(ISNUMBER(H29))),"meta pendente: preencha o custo",IF(F29="maior melhor",IF(J29&lt;H29,"ALERTA",IF(J29&lt;G29,"abaixo da meta","OK")),IF(J29&gt;H29,"ALERTA",IF(J29&gt;G29,"acima da meta","OK")))))</f>
        <v/>
      </c>
      <c r="L29" s="105" t="inlineStr">
        <is>
          <t>Premissas §8 (HIPÓTESE)</t>
        </is>
      </c>
    </row>
    <row r="30" ht="15" customHeight="1" s="67">
      <c r="A30" s="103" t="n">
        <v>23</v>
      </c>
      <c r="B30" s="110" t="inlineStr">
        <is>
          <t>Taxa de disputas</t>
        </is>
      </c>
      <c r="C30" s="105" t="inlineStr">
        <is>
          <t>Disputas (chargebacks) ÷ pedidos.</t>
        </is>
      </c>
      <c r="D30" s="105" t="inlineStr">
        <is>
          <t>Stripe: Disputes.</t>
        </is>
      </c>
      <c r="E30" s="105" t="inlineStr">
        <is>
          <t>disputas ÷ pedidos</t>
        </is>
      </c>
      <c r="F30" s="103" t="inlineStr">
        <is>
          <t>menor melhor</t>
        </is>
      </c>
      <c r="G30" s="123">
        <f>Premissas!$B$46</f>
        <v/>
      </c>
      <c r="H30" s="124">
        <f>G30*Premissas!$B$62</f>
        <v/>
      </c>
      <c r="I30" s="103" t="inlineStr">
        <is>
          <t>Semanal</t>
        </is>
      </c>
      <c r="J30" s="125" t="n"/>
      <c r="K30" s="119">
        <f>IF(J30="","—",IF(OR(NOT(ISNUMBER(G30)),NOT(ISNUMBER(H30))),"meta pendente: preencha o custo",IF(F30="maior melhor",IF(J30&lt;H30,"ALERTA",IF(J30&lt;G30,"abaixo da meta","OK")),IF(J30&gt;H30,"ALERTA",IF(J30&gt;G30,"acima da meta","OK")))))</f>
        <v/>
      </c>
      <c r="L30" s="105" t="inlineStr">
        <is>
          <t>Premissas §8 (HIPÓTESE)</t>
        </is>
      </c>
    </row>
    <row r="31" ht="28.5" customHeight="1" s="67">
      <c r="A31" s="103" t="n">
        <v>24</v>
      </c>
      <c r="B31" s="110" t="inlineStr">
        <is>
          <t>Retenção das assinaturas</t>
        </is>
      </c>
      <c r="C31" s="105" t="inlineStr">
        <is>
          <t>Cobranças pagas por assinatura do plano (média, inclui a 1ª).</t>
        </is>
      </c>
      <c r="D31" s="105" t="inlineStr">
        <is>
          <t>Stripe: faturas pagas por assinatura dos prices STRIPE_PRICE_SINGLE_SUB, KIT3_SUB e KIT6_SUB.</t>
        </is>
      </c>
      <c r="E31" s="105" t="inlineStr">
        <is>
          <t>faturas pagas ÷ assinaturas</t>
        </is>
      </c>
      <c r="F31" s="103" t="inlineStr">
        <is>
          <t>maior melhor</t>
        </is>
      </c>
      <c r="G31" s="127">
        <f>Premissas!$B$31</f>
        <v/>
      </c>
      <c r="H31" s="128">
        <f>G31*Premissas!$B$61</f>
        <v/>
      </c>
      <c r="I31" s="103" t="inlineStr">
        <is>
          <t>Mensal</t>
        </is>
      </c>
      <c r="J31" s="83" t="n"/>
      <c r="K31" s="119">
        <f>IF(J31="","—",IF(OR(NOT(ISNUMBER(G31)),NOT(ISNUMBER(H31))),"meta pendente: preencha o custo",IF(F31="maior melhor",IF(J31&lt;H31,"ALERTA",IF(J31&lt;G31,"abaixo da meta","OK")),IF(J31&gt;H31,"ALERTA",IF(J31&gt;G31,"acima da meta","OK")))))</f>
        <v/>
      </c>
      <c r="L31" s="105" t="inlineStr">
        <is>
          <t>Premissas §5 (HIPÓTESE)</t>
        </is>
      </c>
    </row>
    <row r="32" ht="28.5" customHeight="1" s="67">
      <c r="A32" s="103" t="n">
        <v>25</v>
      </c>
      <c r="B32" s="110" t="inlineStr">
        <is>
          <t>Retenção da assinatura do upsell 2</t>
        </is>
      </c>
      <c r="C32" s="105" t="inlineStr">
        <is>
          <t>Cobranças pagas por assinatura do upsell 2 (média, inclui a 1ª).</t>
        </is>
      </c>
      <c r="D32" s="105" t="inlineStr">
        <is>
          <t>Stripe: faturas pagas por assinatura do price STRIPE_PRICE_UPSELL_SUB.</t>
        </is>
      </c>
      <c r="E32" s="105" t="inlineStr">
        <is>
          <t>faturas pagas ÷ assinaturas</t>
        </is>
      </c>
      <c r="F32" s="103" t="inlineStr">
        <is>
          <t>maior melhor</t>
        </is>
      </c>
      <c r="G32" s="127">
        <f>Premissas!$B$32</f>
        <v/>
      </c>
      <c r="H32" s="128">
        <f>G32*Premissas!$B$61</f>
        <v/>
      </c>
      <c r="I32" s="103" t="inlineStr">
        <is>
          <t>Mensal</t>
        </is>
      </c>
      <c r="J32" s="83" t="n"/>
      <c r="K32" s="119">
        <f>IF(J32="","—",IF(OR(NOT(ISNUMBER(G32)),NOT(ISNUMBER(H32))),"meta pendente: preencha o custo",IF(F32="maior melhor",IF(J32&lt;H32,"ALERTA",IF(J32&lt;G32,"abaixo da meta","OK")),IF(J32&gt;H32,"ALERTA",IF(J32&gt;G32,"acima da meta","OK")))))</f>
        <v/>
      </c>
      <c r="L32" s="105" t="inlineStr">
        <is>
          <t>Premissas §5 (HIPÓTESE)</t>
        </is>
      </c>
    </row>
    <row r="33" ht="28.5" customHeight="1" s="67">
      <c r="A33" s="103" t="n">
        <v>26</v>
      </c>
      <c r="B33" s="110" t="inlineStr">
        <is>
          <t>Margem de contribuição após mídia</t>
        </is>
      </c>
      <c r="C33" s="105" t="inlineStr">
        <is>
          <t>(Receita líquida − custos variáveis − gasto) ÷ receita líquida.</t>
        </is>
      </c>
      <c r="D33" s="105" t="inlineStr">
        <is>
          <t>Stripe (receita, reembolsos, taxas) + custos da aba Premissas + gasto do Ads Manager.</t>
        </is>
      </c>
      <c r="E33" s="105" t="inlineStr">
        <is>
          <t>(receita líquida − custos − gasto) ÷ receita líquida</t>
        </is>
      </c>
      <c r="F33" s="103" t="inlineStr">
        <is>
          <t>maior melhor</t>
        </is>
      </c>
      <c r="G33" s="117">
        <f>Premissas!$B$48</f>
        <v/>
      </c>
      <c r="H33" s="118" t="n">
        <v>0</v>
      </c>
      <c r="I33" s="103" t="inlineStr">
        <is>
          <t>Semanal</t>
        </is>
      </c>
      <c r="J33" s="77" t="n"/>
      <c r="K33" s="119">
        <f>IF(J33="","—",IF(OR(NOT(ISNUMBER(G33)),NOT(ISNUMBER(H33))),"meta pendente: preencha o custo",IF(F33="maior melhor",IF(J33&lt;H33,"ALERTA",IF(J33&lt;G33,"abaixo da meta","OK")),IF(J33&gt;H33,"ALERTA",IF(J33&gt;G33,"acima da meta","OK")))))</f>
        <v/>
      </c>
      <c r="L33" s="105" t="inlineStr">
        <is>
          <t>Premissas §9 (HIPÓTESE); alerta = 0% (equilíbrio)</t>
        </is>
      </c>
    </row>
    <row r="34" ht="15" customHeight="1" s="67">
      <c r="A34" s="71" t="inlineStr">
        <is>
          <t>Rastreamento</t>
        </is>
      </c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</row>
    <row r="35" ht="42" customHeight="1" s="67">
      <c r="A35" s="103" t="n">
        <v>27</v>
      </c>
      <c r="B35" s="110" t="inlineStr">
        <is>
          <t>Cobertura do rastreamento</t>
        </is>
      </c>
      <c r="C35" s="105" t="inlineStr">
        <is>
          <t>Eventos Purchase do Pixel ÷ pedidos pagos no Stripe.</t>
        </is>
      </c>
      <c r="D35" s="105" t="inlineStr">
        <is>
          <t>Meta Events Manager (Purchase) ÷ Supabase orders. Perde-se por recusa de cookies e por quem fecha a página nos upsells (purchase só dispara em /thank-you).</t>
        </is>
      </c>
      <c r="E35" s="105" t="inlineStr">
        <is>
          <t>Purchase do Pixel ÷ count(orders)</t>
        </is>
      </c>
      <c r="F35" s="103" t="inlineStr">
        <is>
          <t>maior melhor</t>
        </is>
      </c>
      <c r="G35" s="117">
        <f>Premissas!$B$59</f>
        <v/>
      </c>
      <c r="H35" s="118">
        <f>G35*Premissas!$B$61</f>
        <v/>
      </c>
      <c r="I35" s="103" t="inlineStr">
        <is>
          <t>Semanal</t>
        </is>
      </c>
      <c r="J35" s="77" t="n"/>
      <c r="K35" s="119">
        <f>IF(J35="","—",IF(OR(NOT(ISNUMBER(G35)),NOT(ISNUMBER(H35))),"meta pendente: preencha o custo",IF(F35="maior melhor",IF(J35&lt;H35,"ALERTA",IF(J35&lt;G35,"abaixo da meta","OK")),IF(J35&gt;H35,"ALERTA",IF(J35&gt;G35,"acima da meta","OK")))))</f>
        <v/>
      </c>
      <c r="L35" s="105" t="inlineStr">
        <is>
          <t>Premissas §11 (HIPÓTESE)</t>
        </is>
      </c>
    </row>
  </sheetData>
  <mergeCells count="1">
    <mergeCell ref="A2:L2"/>
  </mergeCells>
  <conditionalFormatting sqref="G4:H35">
    <cfRule type="expression" rank="0" priority="2" equalAverage="0" aboveAverage="0" dxfId="0" text="" percent="0" bottom="0">
      <formula>ISNUMBER(SEARCH("preencha",G4))</formula>
    </cfRule>
  </conditionalFormatting>
  <conditionalFormatting sqref="K4:K35">
    <cfRule type="expression" rank="0" priority="3" equalAverage="0" aboveAverage="0" dxfId="1" text="" percent="0" bottom="0">
      <formula>ISNUMBER(SEARCH("ALERTA",K4))</formula>
    </cfRule>
    <cfRule type="expression" rank="0" priority="4" equalAverage="0" aboveAverage="0" dxfId="2" text="" percent="0" bottom="0">
      <formula>K4="OK"</formula>
    </cfRule>
    <cfRule type="expression" rank="0" priority="5" equalAverage="0" aboveAverage="0" dxfId="3" text="" percent="0" bottom="0">
      <formula>ISNUMBER(SEARCH("abaixo da meta",K4))</formula>
    </cfRule>
    <cfRule type="expression" rank="0" priority="6" equalAverage="0" aboveAverage="0" dxfId="3" text="" percent="0" bottom="0">
      <formula>ISNUMBER(SEARCH("acima da meta",K4))</formula>
    </cfRule>
    <cfRule type="expression" rank="0" priority="7" equalAverage="0" aboveAverage="0" dxfId="0" text="" percent="0" bottom="0">
      <formula>ISNUMBER(SEARCH("meta pendente",K4))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6" min="1" max="1"/>
    <col width="120" customWidth="1" style="66" min="2" max="2"/>
  </cols>
  <sheetData>
    <row r="1" ht="17.35" customHeight="1" s="67">
      <c r="A1" s="68" t="inlineStr">
        <is>
          <t>Como usar esta planilha</t>
        </is>
      </c>
    </row>
    <row r="2"/>
    <row r="3" ht="15" customHeight="1" s="67">
      <c r="A3" s="71" t="inlineStr">
        <is>
          <t>Antes de tudo</t>
        </is>
      </c>
      <c r="B3" s="72" t="n"/>
    </row>
    <row r="4" ht="30.75" customHeight="1" s="67">
      <c r="A4" s="129" t="inlineStr">
        <is>
          <t>1</t>
        </is>
      </c>
      <c r="B4" s="73" t="inlineStr">
        <is>
          <t>Abra a aba Premissas e preencha o custo do produto por unidade (COGS) e o frete por envio (seção 6). Enquanto estiverem vazios, margem, CPA, ROAS, CPC máximo e custo máximo por quiz mostram "preencha o custo" — de propósito, para não exibir um número enganoso.</t>
        </is>
      </c>
    </row>
    <row r="5" ht="17.25" customHeight="1" s="67">
      <c r="A5" s="129" t="inlineStr">
        <is>
          <t>2</t>
        </is>
      </c>
      <c r="B5" s="73" t="inlineStr">
        <is>
          <t>Só edite células em azul com fundo amarelo. Preto = fórmula; verde = link de outra aba. Percentuais são frações: 0,25 = 25%.</t>
        </is>
      </c>
    </row>
    <row r="6" ht="44.25" customHeight="1" s="67">
      <c r="A6" s="129" t="inlineStr">
        <is>
          <t>3</t>
        </is>
      </c>
      <c r="B6" s="73" t="inlineStr">
        <is>
          <t>Cada premissa tem um rótulo: "fonte: código" (preços e unidades de lib/products.ts e scripts/stripe-setup.ts — mude no código e aqui ao mesmo tempo), "conferir" (taxas do Stripe: confirmar na conta do cliente) e "HIPÓTESE: substituir por dados reais" (conversões, take rates, mix, reembolso, retenção, metas). Nenhuma hipótese é dado real: são pontos de partida para o cálculo.</t>
        </is>
      </c>
    </row>
    <row r="7" ht="15" customHeight="1" s="67">
      <c r="A7" s="71" t="inlineStr">
        <is>
          <t>Como ler</t>
        </is>
      </c>
      <c r="B7" s="72" t="n"/>
    </row>
    <row r="8" ht="44.25" customHeight="1" s="67">
      <c r="A8" s="129" t="inlineStr">
        <is>
          <t>4</t>
        </is>
      </c>
      <c r="B8" s="73" t="inlineStr">
        <is>
          <t>Unit economics: receita, custos e margem de contribuição por comprador na 1ª compra (assinaturas contam só a 1ª cobrança). CPA de equilíbrio = máximo de mídia por compra sem prejuízo; CPA alvo = o que sobra para mídia mantendo a margem-alvo. Há dois ROAS: o do Stripe (pedido + upsells) e o do Pixel (só o pedido, que é o "Purchase ROAS" do Meta). A seção 4 (LTV) só muda quando a retenção for maior que 1.</t>
        </is>
      </c>
    </row>
    <row r="9" ht="44.25" customHeight="1" s="67">
      <c r="A9" s="129" t="inlineStr">
        <is>
          <t>5</t>
        </is>
      </c>
      <c r="B9" s="73" t="inlineStr">
        <is>
          <t>Funil: quantidades por 1.000 visitantes em cada etapa (quiz_start → quiz_complete → view_offer → begin_checkout → purchase → upsell_accepted), receita por visitante, CPC máximo e custo máximo por quiz concluído (equilíbrio e margem-alvo). Compare o custo por quiz com o custo por Lead do Meta.</t>
        </is>
      </c>
    </row>
    <row r="10" ht="44.25" customHeight="1" s="67">
      <c r="A10" s="129" t="inlineStr">
        <is>
          <t>6</t>
        </is>
      </c>
      <c r="B10" s="73" t="inlineStr">
        <is>
          <t>KPIs: uma linha por indicador, com o evento ou a tabela exata (GA4/PostHog/Meta Pixel de lib/analytics.ts, Stripe, Supabase quiz_responses/orders). Preencha "Valor medido" na cadência indicada; o Status mostra OK, abaixo/acima da meta ou ALERTA. Os limites de alerta usam as tolerâncias da seção 11 das Premissas; nos custos de mídia o alerta é o ponto de equilíbrio.</t>
        </is>
      </c>
    </row>
    <row r="11" ht="15" customHeight="1" s="67">
      <c r="A11" s="71" t="inlineStr">
        <is>
          <t>Substituir hipóteses por dados</t>
        </is>
      </c>
      <c r="B11" s="72" t="n"/>
    </row>
    <row r="12" ht="44.25" customHeight="1" s="67">
      <c r="A12" s="129" t="inlineStr">
        <is>
          <t>7</t>
        </is>
      </c>
      <c r="B12" s="73" t="inlineStr">
        <is>
          <t>Quando houver vendas, troque as hipóteses pelos números medidos: mix, bump e upsells em Supabase orders; cupom, reembolsos, disputas e retenção no Stripe; taxas do funil em GA4/PostHog (eventos só contam quem aceitou cookies — use quiz_responses e orders para os totais). Troque o rótulo para a fonte real.</t>
        </is>
      </c>
    </row>
    <row r="13" ht="30.75" customHeight="1" s="67">
      <c r="A13" s="129" t="inlineStr">
        <is>
          <t>8</t>
        </is>
      </c>
      <c r="B13" s="73" t="inlineStr">
        <is>
          <t>Para contar compras, use Stripe/Supabase, não o evento purchase: ele só dispara em /thank-you, depois dos upsells, e depende do consentimento de cookies. Upsells pagos via 3-D Secure não disparam upsell_accepted nem gravam orders.upsells — conte pelos metadados do Stripe.</t>
        </is>
      </c>
    </row>
    <row r="14" ht="15" customHeight="1" s="67">
      <c r="A14" s="71" t="inlineStr">
        <is>
          <t>Limites do modelo</t>
        </is>
      </c>
      <c r="B14" s="72" t="n"/>
    </row>
    <row r="15" ht="44.25" customHeight="1" s="67">
      <c r="A15" s="129" t="inlineStr">
        <is>
          <t>9</t>
        </is>
      </c>
      <c r="B15" s="73" t="inlineStr">
        <is>
          <t>Não inclui custos fixos (equipe, ferramentas, hospedagem, vídeos), impostos sobre vendas, recompra do Kit 3 nem moedas fora do USD (os preços em outras moedas estão em lib/products.ts). Os reembolsos são tratados de forma conservadora: a taxa do Stripe não volta e o produto não é recuperado.</t>
        </is>
      </c>
    </row>
    <row r="16" ht="44.25" customHeight="1" s="67">
      <c r="A16" s="129" t="inlineStr">
        <is>
          <t>10</t>
        </is>
      </c>
      <c r="B16" s="73" t="inlineStr">
        <is>
          <t>Divergência encontrada no código: o cupom VITAL10 é criado sem applies_to, então o Stripe desconta também o order bump, mas o carrinho (CheckoutFlow.tsx) calcula o desconto só sobre o plano. A chave "O cupom também desconta o order bump?" (Premissas §3) segue o que o Stripe cobra.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2026-10-16T16:54:32Z</dcterms:created>
  <dcterms:modified xmlns:dcterms="http://purl.org/dc/terms/" xmlns:xsi="http://www.w3.org/2001/XMLSchema-instance" xsi:type="dcterms:W3CDTF">2026-10-18T03:34:44Z</dcterms:modified>
  <cp:revision>0</cp:revision>
</cp:coreProperties>
</file>